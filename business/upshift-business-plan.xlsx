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Relationship></Relationships>
</file>

<file path=xl/workbook.xml><?xml version="1.0" encoding="utf-8"?>
<workbook xmlns="http://schemas.openxmlformats.org/spreadsheetml/2006/main" xmlns:r="http://schemas.openxmlformats.org/officeDocument/2006/relationships">
  <workbookPr date1904="0"/>
  <sheets>
    <sheet name="Decision summary" sheetId="1" r:id="rId1"/>
    <sheet name="Base and upside comparison" sheetId="2" r:id="rId2"/>
    <sheet name="Sensitivity decision summary" sheetId="3" r:id="rId3"/>
    <sheet name="Model inputs" sheetId="4" r:id="rId4"/>
  </sheets>
  <calcPr calcMode="auto" fullCalcOnLoad="1" forceFullCalc="1"/>
</workbook>
</file>

<file path=xl/styles.xml><?xml version="1.0" encoding="utf-8"?>
<styleSheet xmlns="http://schemas.openxmlformats.org/spreadsheetml/2006/main">
  <numFmts count="5">
    <numFmt numFmtId="164" formatCode="yyyy-mm-dd"/>
    <numFmt numFmtId="165" formatCode="&quot;$&quot;#,##0.00;(&quot;$&quot;#,##0.00)"/>
    <numFmt numFmtId="166" formatCode="#,##0.###;(#,##0.###)"/>
    <numFmt numFmtId="167" formatCode="0.0%"/>
    <numFmt numFmtId="168" formatCode="&quot;$&quot;#,##0;(&quot;$&quot;#,##0)"/>
  </numFmts>
  <fonts count="5">
    <font>
      <sz val="10"/>
      <color rgb="FF352F29"/>
      <name val="Aptos"/>
    </font>
    <font>
      <b/>
      <sz val="16"/>
      <color rgb="FFFFFFFF"/>
      <name val="Aptos"/>
    </font>
    <font>
      <sz val="9"/>
      <color rgb="FF817B73"/>
      <name val="Aptos"/>
    </font>
    <font>
      <b/>
      <sz val="10"/>
      <color rgb="FF352F29"/>
      <name val="Aptos"/>
    </font>
    <font>
      <sz val="10"/>
      <color rgb="FF817B73"/>
      <name val="Aptos"/>
    </font>
  </fonts>
  <fills count="7">
    <fill>
      <patternFill patternType="none"/>
    </fill>
    <fill>
      <patternFill patternType="gray125"/>
    </fill>
    <fill>
      <patternFill patternType="solid">
        <fgColor rgb="FF352F29"/>
        <bgColor indexed="64"/>
      </patternFill>
    </fill>
    <fill>
      <patternFill patternType="solid">
        <fgColor rgb="FFF0EDE8"/>
        <bgColor indexed="64"/>
      </patternFill>
    </fill>
    <fill>
      <patternFill patternType="solid">
        <fgColor rgb="FFF5F2EC"/>
        <bgColor indexed="64"/>
      </patternFill>
    </fill>
    <fill>
      <patternFill patternType="solid">
        <fgColor rgb="FFE6E0D7"/>
        <bgColor indexed="64"/>
      </patternFill>
    </fill>
    <fill>
      <patternFill patternType="solid">
        <fgColor rgb="FFF7F9FC"/>
        <bgColor indexed="64"/>
      </patternFill>
    </fill>
  </fills>
  <borders count="2">
    <border>
      <left/>
      <right/>
      <top/>
      <bottom/>
      <diagonal/>
    </border>
    <border>
      <left/>
      <right/>
      <top/>
      <bottom style="thin">
        <color rgb="FFE7E3DD"/>
      </bottom>
      <diagonal/>
    </border>
  </borders>
  <cellStyleXfs count="1">
    <xf numFmtId="0" fontId="0" fillId="0" borderId="0"/>
  </cellStyleXfs>
  <cellXfs count="21">
    <xf numFmtId="0" fontId="0" fillId="0" borderId="0" xfId="0"/>
    <xf numFmtId="0" fontId="1" fillId="2" borderId="0" xfId="0" applyFill="1" applyFont="1" applyAlignment="1">
      <alignment vertical="center" horizontal="left" indent="1"/>
    </xf>
    <xf numFmtId="0" fontId="2" fillId="0" borderId="0" xfId="0" applyFont="1"/>
    <xf numFmtId="0" fontId="3" fillId="3" borderId="1" xfId="0" applyFill="1" applyFont="1" applyBorder="1" applyAlignment="1">
      <alignment vertical="center" horizontal="left"/>
    </xf>
    <xf numFmtId="0" fontId="3" fillId="3" borderId="1" xfId="0" applyFill="1" applyFont="1" applyBorder="1" applyAlignment="1">
      <alignment vertical="center" horizontal="right"/>
    </xf>
    <xf numFmtId="0" fontId="3" fillId="4" borderId="1" xfId="0" applyFill="1" applyFont="1" applyBorder="1" applyAlignment="1">
      <alignment vertical="center" horizontal="left"/>
    </xf>
    <xf numFmtId="164" fontId="3" fillId="4" borderId="1" xfId="0" applyNumberFormat="1" applyFill="1" applyFont="1" applyBorder="1" applyAlignment="1">
      <alignment vertical="center" horizontal="right"/>
    </xf>
    <xf numFmtId="0" fontId="0" fillId="0" borderId="0" xfId="0" applyAlignment="1">
      <alignment vertical="center" horizontal="left"/>
    </xf>
    <xf numFmtId="164" fontId="0" fillId="0" borderId="0" xfId="0" applyNumberFormat="1" applyAlignment="1">
      <alignment vertical="center" horizontal="right"/>
    </xf>
    <xf numFmtId="165" fontId="0" fillId="0" borderId="0" xfId="0" applyNumberFormat="1" applyAlignment="1">
      <alignment vertical="center" horizontal="right"/>
    </xf>
    <xf numFmtId="166" fontId="0" fillId="0" borderId="0" xfId="0" applyNumberFormat="1" applyAlignment="1">
      <alignment vertical="center" horizontal="right"/>
    </xf>
    <xf numFmtId="167" fontId="0" fillId="0" borderId="0" xfId="0" applyNumberFormat="1" applyAlignment="1">
      <alignment vertical="center" horizontal="right"/>
    </xf>
    <xf numFmtId="166" fontId="3" fillId="4" borderId="1" xfId="0" applyNumberFormat="1" applyFill="1" applyFont="1" applyBorder="1" applyAlignment="1">
      <alignment vertical="center" horizontal="right"/>
    </xf>
    <xf numFmtId="0" fontId="3" fillId="5" borderId="1" xfId="0" applyFill="1" applyFont="1" applyBorder="1" applyAlignment="1">
      <alignment vertical="center" horizontal="right"/>
    </xf>
    <xf numFmtId="165" fontId="3" fillId="4" borderId="1" xfId="0" applyNumberFormat="1" applyFill="1" applyFont="1" applyBorder="1" applyAlignment="1">
      <alignment vertical="center" horizontal="right"/>
    </xf>
    <xf numFmtId="168" fontId="0" fillId="0" borderId="0" xfId="0" applyNumberFormat="1" applyAlignment="1">
      <alignment vertical="center" horizontal="right"/>
    </xf>
    <xf numFmtId="168" fontId="3" fillId="4" borderId="1" xfId="0" applyNumberFormat="1" applyFill="1" applyFont="1" applyBorder="1" applyAlignment="1">
      <alignment vertical="center" horizontal="right"/>
    </xf>
    <xf numFmtId="0" fontId="3" fillId="4" borderId="1" xfId="0" applyFill="1" applyFont="1" applyBorder="1"/>
    <xf numFmtId="0" fontId="3" fillId="6" borderId="0" xfId="0" applyFill="1" applyFont="1" applyAlignment="1">
      <alignment vertical="center" horizontal="left"/>
    </xf>
    <xf numFmtId="0" fontId="0" fillId="6" borderId="0" xfId="0" applyFill="1" applyAlignment="1">
      <alignment vertical="center" horizontal="left" indent="1"/>
    </xf>
    <xf numFmtId="0" fontId="4" fillId="0" borderId="0" xfId="0" applyFont="1" applyAlignment="1">
      <alignment vertical="center" horizontal="left"/>
    </xf>
  </cellXfs>
  <cellStyles count="1">
    <cellStyle name="Normal" xfId="0" builtinId="0"/>
  </cellStyles>
</styleSheet>
</file>

<file path=xl/_rels/workbook.xml.rels><?xml version="1.0" encoding="UTF-8"?>
<Relationships xmlns="http://schemas.openxmlformats.org/package/2006/relationships"><Relationship Id="rId1" Type="http://schemas.openxmlformats.org/officeDocument/2006/relationships/worksheet" Target="worksheets/sheet1.xml"></Relationship><Relationship Id="rId2" Type="http://schemas.openxmlformats.org/officeDocument/2006/relationships/worksheet" Target="worksheets/sheet2.xml"></Relationship><Relationship Id="rId3" Type="http://schemas.openxmlformats.org/officeDocument/2006/relationships/worksheet" Target="worksheets/sheet3.xml"></Relationship><Relationship Id="rId4" Type="http://schemas.openxmlformats.org/officeDocument/2006/relationships/worksheet" Target="worksheets/sheet4.xml"></Relationship><Relationship Id="rId5" Type="http://schemas.openxmlformats.org/officeDocument/2006/relationships/styles" Target="styles.xml"></Relationship></Relationships>
</file>

<file path=xl/worksheets/sheet1.xml><?xml version="1.0" encoding="utf-8"?>
<worksheet xmlns="http://schemas.openxmlformats.org/spreadsheetml/2006/main">
  <dimension ref="A1:B15"/>
  <sheetViews>
    <sheetView showGridLines="0" workbookViewId="0">
      <pane xSplit="1" ySplit="4" topLeftCell="B5" activePane="bottomRight" state="frozen"/>
      <selection pane="bottomRight" activeCell="B5" sqref="B5"/>
    </sheetView>
  </sheetViews>
  <sheetFormatPr defaultRowHeight="18"/>
  <cols>
    <col min="1" max="1" width="40" customWidth="1"/>
    <col min="2" max="2" width="19" customWidth="1"/>
  </cols>
  <sheetData>
    <row r="1" ht="32" customHeight="1">
      <c r="A1" t="inlineStr" s="1">
        <is>
          <t xml:space="preserve">Decision summary</t>
        </is>
      </c>
    </row>
    <row r="2" ht="20" customHeight="1">
      <c r="A2" t="inlineStr" s="2">
        <is>
          <t xml:space="preserve">Upshift — Business Plan · Main Scenario</t>
        </is>
      </c>
    </row>
    <row r="4" ht="22" customHeight="1">
      <c r="A4" t="inlineStr" s="3">
        <is>
          <t xml:space="preserve">Variable / dimension</t>
        </is>
      </c>
      <c r="B4" t="inlineStr" s="4">
        <is>
          <t xml:space="preserve">Value</t>
        </is>
      </c>
    </row>
    <row r="5">
      <c r="A5" t="inlineStr" s="5">
        <is>
          <t xml:space="preserve">Operating break-even month</t>
        </is>
      </c>
      <c r="B5" s="6">
        <f>MIN('Model inputs'!D48,'Model inputs'!E48,'Model inputs'!F48,'Model inputs'!G48,'Model inputs'!H48,'Model inputs'!I48,'Model inputs'!J48,'Model inputs'!K48,'Model inputs'!L48,'Model inputs'!M48,'Model inputs'!N48,'Model inputs'!O48,'Model inputs'!P48,'Model inputs'!Q48,'Model inputs'!R48,'Model inputs'!S48,'Model inputs'!T48,'Model inputs'!U48,'Model inputs'!V48,'Model inputs'!W48,'Model inputs'!X48,'Model inputs'!Y48,'Model inputs'!Z48,'Model inputs'!B48)</f>
        <v>46327</v>
      </c>
    </row>
    <row r="6">
      <c r="A6" t="inlineStr" s="7">
        <is>
          <t xml:space="preserve">Cash break-even month</t>
        </is>
      </c>
      <c r="B6" s="8">
        <f>MIN('Model inputs'!D13,'Model inputs'!E13,'Model inputs'!F13,'Model inputs'!G13,'Model inputs'!H13,'Model inputs'!I13,'Model inputs'!J13,'Model inputs'!K13,'Model inputs'!L13,'Model inputs'!M13,'Model inputs'!N13,'Model inputs'!O13,'Model inputs'!P13,'Model inputs'!Q13,'Model inputs'!R13,'Model inputs'!S13,'Model inputs'!T13,'Model inputs'!U13,'Model inputs'!V13,'Model inputs'!W13,'Model inputs'!X13,'Model inputs'!Y13,'Model inputs'!Z13,'Model inputs'!B13)</f>
        <v>46327</v>
      </c>
    </row>
    <row r="7">
      <c r="A7" t="inlineStr" s="7">
        <is>
          <t xml:space="preserve">Founder investment recovered month</t>
        </is>
      </c>
      <c r="B7" s="8">
        <f>MIN('Model inputs'!D35,'Model inputs'!E35,'Model inputs'!F35,'Model inputs'!G35,'Model inputs'!H35,'Model inputs'!I35,'Model inputs'!J35,'Model inputs'!K35,'Model inputs'!L35,'Model inputs'!M35,'Model inputs'!N35,'Model inputs'!O35,'Model inputs'!P35,'Model inputs'!Q35,'Model inputs'!R35,'Model inputs'!S35,'Model inputs'!T35,'Model inputs'!U35,'Model inputs'!V35,'Model inputs'!W35,'Model inputs'!X35,'Model inputs'!Y35,'Model inputs'!Z35,'Model inputs'!B35)</f>
        <v>46357</v>
      </c>
    </row>
    <row r="8">
      <c r="A8" t="inlineStr" s="7">
        <is>
          <t xml:space="preserve">Peak founder funding</t>
        </is>
      </c>
      <c r="B8" s="9">
        <f>MAX('Base and upside comparison'!B13,'Base and upside comparison'!D13,'Base and upside comparison'!F13,'Base and upside comparison'!H13,'Base and upside comparison'!J13,'Base and upside comparison'!L13,'Base and upside comparison'!N13,'Base and upside comparison'!P13,'Base and upside comparison'!R13,'Base and upside comparison'!T13,'Base and upside comparison'!V13,'Base and upside comparison'!X13,'Base and upside comparison'!Z13,'Base and upside comparison'!AB13,'Base and upside comparison'!AD13,'Base and upside comparison'!AF13,'Base and upside comparison'!AH13,'Base and upside comparison'!AJ13,'Base and upside comparison'!AL13,'Base and upside comparison'!AN13,'Base and upside comparison'!AP13,'Base and upside comparison'!AR13,'Base and upside comparison'!AT13,'Base and upside comparison'!AV13)</f>
        <v>144</v>
      </c>
    </row>
    <row r="9">
      <c r="A9" t="inlineStr" s="7">
        <is>
          <t xml:space="preserve">Cumulative cash low point</t>
        </is>
      </c>
      <c r="B9" s="9">
        <f>MIN('Base and upside comparison'!B12,'Base and upside comparison'!D12,'Base and upside comparison'!F12,'Base and upside comparison'!H12,'Base and upside comparison'!J12,'Base and upside comparison'!L12,'Base and upside comparison'!N12,'Base and upside comparison'!P12,'Base and upside comparison'!R12,'Base and upside comparison'!T12,'Base and upside comparison'!V12,'Base and upside comparison'!X12,'Base and upside comparison'!Z12,'Base and upside comparison'!AB12,'Base and upside comparison'!AD12,'Base and upside comparison'!AF12,'Base and upside comparison'!AH12,'Base and upside comparison'!AJ12,'Base and upside comparison'!AL12,'Base and upside comparison'!AN12,'Base and upside comparison'!AP12,'Base and upside comparison'!AR12,'Base and upside comparison'!AT12,'Base and upside comparison'!AV12)</f>
        <v>-144</v>
      </c>
    </row>
    <row r="10">
      <c r="A10" t="inlineStr" s="7">
        <is>
          <t xml:space="preserve">Month-24 paid repositories</t>
        </is>
      </c>
      <c r="B10" s="10">
        <f>IF('Base and upside comparison'!AV5="","",'Base and upside comparison'!AV5)</f>
        <v>108.03848264467925</v>
      </c>
    </row>
    <row r="11">
      <c r="A11" t="inlineStr" s="7">
        <is>
          <t xml:space="preserve">Month-24 monthly revenue</t>
        </is>
      </c>
      <c r="B11" s="9">
        <f>IF('Base and upside comparison'!AV6="","",'Base and upside comparison'!AV6)</f>
        <v>5293.885649589283</v>
      </c>
    </row>
    <row r="12">
      <c r="A12" t="inlineStr" s="7">
        <is>
          <t xml:space="preserve">Month-24 ARR</t>
        </is>
      </c>
      <c r="B12" s="9">
        <f>IF('Model inputs'!B6="","",'Model inputs'!B6)</f>
        <v>63526.6277950714</v>
      </c>
    </row>
    <row r="13">
      <c r="A13" t="inlineStr" s="7">
        <is>
          <t xml:space="preserve">Month-24 unfunded cash</t>
        </is>
      </c>
      <c r="B13" s="9">
        <f>IF('Base and upside comparison'!AV12="","",'Base and upside comparison'!AV12)</f>
        <v>36559.209219195895</v>
      </c>
    </row>
    <row r="14">
      <c r="A14" t="inlineStr" s="7">
        <is>
          <t xml:space="preserve">Baseline Team gross margin</t>
        </is>
      </c>
      <c r="B14" s="11">
        <f>1-('Model inputs'!C63*'Model inputs'!C62+'Model inputs'!C8*('Model inputs'!C9+'Model inputs'!C7)+'Model inputs'!C56)/'Model inputs'!C59-'Model inputs'!C54</f>
        <v>0.9551020408163265</v>
      </c>
    </row>
    <row r="15">
      <c r="A15" t="inlineStr" s="5">
        <is>
          <t xml:space="preserve">Team break-even repositories</t>
        </is>
      </c>
      <c r="B15" s="12">
        <f>CEILING((SUM('Model inputs'!C28)*(1+'Model inputs'!C55)+SUM('Model inputs'!C39,'Model inputs'!C40,'Model inputs'!C41)+'Model inputs'!C37)/('Model inputs'!C59*(1-'Model inputs'!C54)-('Model inputs'!C63*'Model inputs'!C62+'Model inputs'!C8*('Model inputs'!C9+'Model inputs'!C7)+'Model inputs'!C56)),1)</f>
        <v>7</v>
      </c>
    </row>
  </sheetData>
  <mergeCells count="1">
    <mergeCell ref="A1:B1"/>
  </mergeCells>
</worksheet>
</file>

<file path=xl/worksheets/sheet2.xml><?xml version="1.0" encoding="utf-8"?>
<worksheet xmlns="http://schemas.openxmlformats.org/spreadsheetml/2006/main">
  <dimension ref="A1:AW13"/>
  <sheetViews>
    <sheetView showGridLines="0" workbookViewId="0">
      <pane xSplit="1" ySplit="4" topLeftCell="B5" activePane="bottomRight" state="frozen"/>
      <selection pane="bottomRight" activeCell="B5" sqref="B5"/>
    </sheetView>
  </sheetViews>
  <sheetFormatPr defaultRowHeight="18"/>
  <cols>
    <col min="1" max="1" width="40"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s>
  <sheetData>
    <row r="1" ht="32" customHeight="1">
      <c r="A1" t="inlineStr" s="1">
        <is>
          <t xml:space="preserve">Base and upside comparison</t>
        </is>
      </c>
    </row>
    <row r="2" ht="20" customHeight="1">
      <c r="A2" t="inlineStr" s="2">
        <is>
          <t xml:space="preserve">Upshift — Business Plan · Main Scenario</t>
        </is>
      </c>
    </row>
    <row r="4" ht="22" customHeight="1">
      <c r="A4" t="inlineStr" s="3">
        <is>
          <t xml:space="preserve">Variable / dimension</t>
        </is>
      </c>
      <c r="B4" t="inlineStr" s="13">
        <is>
          <t xml:space="preserve">2026-10</t>
        </is>
      </c>
      <c r="C4" t="inlineStr" s="13">
        <is>
          <t xml:space="preserve">2026-10 &gt; Upshift — Upside</t>
        </is>
      </c>
      <c r="D4" t="inlineStr" s="4">
        <is>
          <t xml:space="preserve">2026-11</t>
        </is>
      </c>
      <c r="E4" t="inlineStr" s="4">
        <is>
          <t xml:space="preserve">2026-11 &gt; Upshift — Upside</t>
        </is>
      </c>
      <c r="F4" t="inlineStr" s="4">
        <is>
          <t xml:space="preserve">2026-12</t>
        </is>
      </c>
      <c r="G4" t="inlineStr" s="4">
        <is>
          <t xml:space="preserve">2026-12 &gt; Upshift — Upside</t>
        </is>
      </c>
      <c r="H4" t="inlineStr" s="13">
        <is>
          <t xml:space="preserve">2027-01</t>
        </is>
      </c>
      <c r="I4" t="inlineStr" s="13">
        <is>
          <t xml:space="preserve">2027-01 &gt; Upshift — Upside</t>
        </is>
      </c>
      <c r="J4" t="inlineStr" s="4">
        <is>
          <t xml:space="preserve">2027-02</t>
        </is>
      </c>
      <c r="K4" t="inlineStr" s="4">
        <is>
          <t xml:space="preserve">2027-02 &gt; Upshift — Upside</t>
        </is>
      </c>
      <c r="L4" t="inlineStr" s="4">
        <is>
          <t xml:space="preserve">2027-03</t>
        </is>
      </c>
      <c r="M4" t="inlineStr" s="4">
        <is>
          <t xml:space="preserve">2027-03 &gt; Upshift — Upside</t>
        </is>
      </c>
      <c r="N4" t="inlineStr" s="13">
        <is>
          <t xml:space="preserve">2027-04</t>
        </is>
      </c>
      <c r="O4" t="inlineStr" s="13">
        <is>
          <t xml:space="preserve">2027-04 &gt; Upshift — Upside</t>
        </is>
      </c>
      <c r="P4" t="inlineStr" s="4">
        <is>
          <t xml:space="preserve">2027-05</t>
        </is>
      </c>
      <c r="Q4" t="inlineStr" s="4">
        <is>
          <t xml:space="preserve">2027-05 &gt; Upshift — Upside</t>
        </is>
      </c>
      <c r="R4" t="inlineStr" s="4">
        <is>
          <t xml:space="preserve">2027-06</t>
        </is>
      </c>
      <c r="S4" t="inlineStr" s="4">
        <is>
          <t xml:space="preserve">2027-06 &gt; Upshift — Upside</t>
        </is>
      </c>
      <c r="T4" t="inlineStr" s="13">
        <is>
          <t xml:space="preserve">2027-07</t>
        </is>
      </c>
      <c r="U4" t="inlineStr" s="13">
        <is>
          <t xml:space="preserve">2027-07 &gt; Upshift — Upside</t>
        </is>
      </c>
      <c r="V4" t="inlineStr" s="4">
        <is>
          <t xml:space="preserve">2027-08</t>
        </is>
      </c>
      <c r="W4" t="inlineStr" s="4">
        <is>
          <t xml:space="preserve">2027-08 &gt; Upshift — Upside</t>
        </is>
      </c>
      <c r="X4" t="inlineStr" s="4">
        <is>
          <t xml:space="preserve">2027-09</t>
        </is>
      </c>
      <c r="Y4" t="inlineStr" s="4">
        <is>
          <t xml:space="preserve">2027-09 &gt; Upshift — Upside</t>
        </is>
      </c>
      <c r="Z4" t="inlineStr" s="13">
        <is>
          <t xml:space="preserve">2027-10</t>
        </is>
      </c>
      <c r="AA4" t="inlineStr" s="13">
        <is>
          <t xml:space="preserve">2027-10 &gt; Upshift — Upside</t>
        </is>
      </c>
      <c r="AB4" t="inlineStr" s="4">
        <is>
          <t xml:space="preserve">2027-11</t>
        </is>
      </c>
      <c r="AC4" t="inlineStr" s="4">
        <is>
          <t xml:space="preserve">2027-11 &gt; Upshift — Upside</t>
        </is>
      </c>
      <c r="AD4" t="inlineStr" s="4">
        <is>
          <t xml:space="preserve">2027-12</t>
        </is>
      </c>
      <c r="AE4" t="inlineStr" s="4">
        <is>
          <t xml:space="preserve">2027-12 &gt; Upshift — Upside</t>
        </is>
      </c>
      <c r="AF4" t="inlineStr" s="13">
        <is>
          <t xml:space="preserve">2028-01</t>
        </is>
      </c>
      <c r="AG4" t="inlineStr" s="13">
        <is>
          <t xml:space="preserve">2028-01 &gt; Upshift — Upside</t>
        </is>
      </c>
      <c r="AH4" t="inlineStr" s="4">
        <is>
          <t xml:space="preserve">2028-02</t>
        </is>
      </c>
      <c r="AI4" t="inlineStr" s="4">
        <is>
          <t xml:space="preserve">2028-02 &gt; Upshift — Upside</t>
        </is>
      </c>
      <c r="AJ4" t="inlineStr" s="4">
        <is>
          <t xml:space="preserve">2028-03</t>
        </is>
      </c>
      <c r="AK4" t="inlineStr" s="4">
        <is>
          <t xml:space="preserve">2028-03 &gt; Upshift — Upside</t>
        </is>
      </c>
      <c r="AL4" t="inlineStr" s="13">
        <is>
          <t xml:space="preserve">2028-04</t>
        </is>
      </c>
      <c r="AM4" t="inlineStr" s="13">
        <is>
          <t xml:space="preserve">2028-04 &gt; Upshift — Upside</t>
        </is>
      </c>
      <c r="AN4" t="inlineStr" s="4">
        <is>
          <t xml:space="preserve">2028-05</t>
        </is>
      </c>
      <c r="AO4" t="inlineStr" s="4">
        <is>
          <t xml:space="preserve">2028-05 &gt; Upshift — Upside</t>
        </is>
      </c>
      <c r="AP4" t="inlineStr" s="4">
        <is>
          <t xml:space="preserve">2028-06</t>
        </is>
      </c>
      <c r="AQ4" t="inlineStr" s="4">
        <is>
          <t xml:space="preserve">2028-06 &gt; Upshift — Upside</t>
        </is>
      </c>
      <c r="AR4" t="inlineStr" s="13">
        <is>
          <t xml:space="preserve">2028-07</t>
        </is>
      </c>
      <c r="AS4" t="inlineStr" s="13">
        <is>
          <t xml:space="preserve">2028-07 &gt; Upshift — Upside</t>
        </is>
      </c>
      <c r="AT4" t="inlineStr" s="4">
        <is>
          <t xml:space="preserve">2028-08</t>
        </is>
      </c>
      <c r="AU4" t="inlineStr" s="4">
        <is>
          <t xml:space="preserve">2028-08 &gt; Upshift — Upside</t>
        </is>
      </c>
      <c r="AV4" t="inlineStr" s="4">
        <is>
          <t xml:space="preserve">2028-09</t>
        </is>
      </c>
      <c r="AW4" t="inlineStr" s="4">
        <is>
          <t xml:space="preserve">2028-09 &gt; Upshift — Upside</t>
        </is>
      </c>
    </row>
    <row r="5">
      <c r="A5" t="inlineStr" s="5">
        <is>
          <t xml:space="preserve">Paid repositories</t>
        </is>
      </c>
      <c r="B5" s="12">
        <f>'Model inputs'!D46+'Model inputs'!D44-'Model inputs'!D14</f>
        <v>3.3333333333333335</v>
      </c>
      <c r="C5" s="12">
        <f>'Model inputs'!D47+'Model inputs'!D45-'Model inputs'!D15</f>
        <v>8.333333333333334</v>
      </c>
      <c r="D5" s="12">
        <f>'Model inputs'!E46+'Model inputs'!E44-'Model inputs'!E14</f>
        <v>6.666666666666668</v>
      </c>
      <c r="E5" s="12">
        <f>'Model inputs'!E47+'Model inputs'!E45-'Model inputs'!E15</f>
        <v>16.666666666666668</v>
      </c>
      <c r="F5" s="12">
        <f>'Model inputs'!F46+'Model inputs'!F44-'Model inputs'!F14</f>
        <v>10.000000000000002</v>
      </c>
      <c r="G5" s="12">
        <f>'Model inputs'!F47+'Model inputs'!F45-'Model inputs'!F15</f>
        <v>25</v>
      </c>
      <c r="H5" s="12">
        <f>'Model inputs'!G46+'Model inputs'!G44-'Model inputs'!G14</f>
        <v>11.200000000000001</v>
      </c>
      <c r="I5" s="12">
        <f>'Model inputs'!G47+'Model inputs'!G45-'Model inputs'!G15</f>
        <v>30.5</v>
      </c>
      <c r="J5" s="12">
        <f>'Model inputs'!H46+'Model inputs'!H44-'Model inputs'!H14</f>
        <v>12.544</v>
      </c>
      <c r="K5" s="12">
        <f>'Model inputs'!H47+'Model inputs'!H45-'Model inputs'!H15</f>
        <v>37.21</v>
      </c>
      <c r="L5" s="12">
        <f>'Model inputs'!I46+'Model inputs'!I44-'Model inputs'!I14</f>
        <v>14.049280000000001</v>
      </c>
      <c r="M5" s="12">
        <f>'Model inputs'!I47+'Model inputs'!I45-'Model inputs'!I15</f>
        <v>45.3962</v>
      </c>
      <c r="N5" s="12">
        <f>'Model inputs'!J46+'Model inputs'!J44-'Model inputs'!J14</f>
        <v>15.7351936</v>
      </c>
      <c r="O5" s="12">
        <f>'Model inputs'!J47+'Model inputs'!J45-'Model inputs'!J15</f>
        <v>55.383364</v>
      </c>
      <c r="P5" s="12">
        <f>'Model inputs'!K46+'Model inputs'!K44-'Model inputs'!K14</f>
        <v>17.623416832</v>
      </c>
      <c r="Q5" s="12">
        <f>'Model inputs'!K47+'Model inputs'!K45-'Model inputs'!K15</f>
        <v>67.56770408000001</v>
      </c>
      <c r="R5" s="12">
        <f>'Model inputs'!L46+'Model inputs'!L44-'Model inputs'!L14</f>
        <v>19.738226851839997</v>
      </c>
      <c r="S5" s="12">
        <f>'Model inputs'!L47+'Model inputs'!L45-'Model inputs'!L15</f>
        <v>82.43259897760001</v>
      </c>
      <c r="T5" s="12">
        <f>'Model inputs'!M46+'Model inputs'!M44-'Model inputs'!M14</f>
        <v>22.106814074060797</v>
      </c>
      <c r="U5" s="12">
        <f>'Model inputs'!M47+'Model inputs'!M45-'Model inputs'!M15</f>
        <v>100.56777075267202</v>
      </c>
      <c r="V5" s="12">
        <f>'Model inputs'!N46+'Model inputs'!N44-'Model inputs'!N14</f>
        <v>24.759631762948093</v>
      </c>
      <c r="W5" s="12">
        <f>'Model inputs'!N47+'Model inputs'!N45-'Model inputs'!N15</f>
        <v>122.69268031825986</v>
      </c>
      <c r="X5" s="12">
        <f>'Model inputs'!O46+'Model inputs'!O44-'Model inputs'!O14</f>
        <v>27.730787574501864</v>
      </c>
      <c r="Y5" s="12">
        <f>'Model inputs'!O47+'Model inputs'!O45-'Model inputs'!O15</f>
        <v>149.68506998827704</v>
      </c>
      <c r="Z5" s="12">
        <f>'Model inputs'!P46+'Model inputs'!P44-'Model inputs'!P14</f>
        <v>31.058482083442087</v>
      </c>
      <c r="AA5" s="12">
        <f>'Model inputs'!P47+'Model inputs'!P45-'Model inputs'!P15</f>
        <v>182.615785385698</v>
      </c>
      <c r="AB5" s="12">
        <f>'Model inputs'!Q46+'Model inputs'!Q44-'Model inputs'!Q14</f>
        <v>34.785499933455135</v>
      </c>
      <c r="AC5" s="12">
        <f>'Model inputs'!Q47+'Model inputs'!Q45-'Model inputs'!Q15</f>
        <v>222.79125817055154</v>
      </c>
      <c r="AD5" s="12">
        <f>'Model inputs'!R46+'Model inputs'!R44-'Model inputs'!R14</f>
        <v>38.959759925469754</v>
      </c>
      <c r="AE5" s="12">
        <f>'Model inputs'!R47+'Model inputs'!R45-'Model inputs'!R15</f>
        <v>271.8053349680729</v>
      </c>
      <c r="AF5" s="12">
        <f>'Model inputs'!S46+'Model inputs'!S44-'Model inputs'!S14</f>
        <v>43.634931116526126</v>
      </c>
      <c r="AG5" s="12">
        <f>'Model inputs'!S47+'Model inputs'!S45-'Model inputs'!S15</f>
        <v>331.60250866104894</v>
      </c>
      <c r="AH5" s="12">
        <f>'Model inputs'!T46+'Model inputs'!T44-'Model inputs'!T14</f>
        <v>48.87112285050926</v>
      </c>
      <c r="AI5" s="12">
        <f>'Model inputs'!T47+'Model inputs'!T45-'Model inputs'!T15</f>
        <v>404.5550605664797</v>
      </c>
      <c r="AJ5" s="12">
        <f>'Model inputs'!U46+'Model inputs'!U44-'Model inputs'!U14</f>
        <v>54.73565759257037</v>
      </c>
      <c r="AK5" s="12">
        <f>'Model inputs'!U47+'Model inputs'!U45-'Model inputs'!U15</f>
        <v>493.55717389110526</v>
      </c>
      <c r="AL5" s="12">
        <f>'Model inputs'!V46+'Model inputs'!V44-'Model inputs'!V14</f>
        <v>61.30393650367881</v>
      </c>
      <c r="AM5" s="12">
        <f>'Model inputs'!V47+'Model inputs'!V45-'Model inputs'!V15</f>
        <v>602.1397521471483</v>
      </c>
      <c r="AN5" s="12">
        <f>'Model inputs'!W46+'Model inputs'!W44-'Model inputs'!W14</f>
        <v>68.66040888412027</v>
      </c>
      <c r="AO5" s="12">
        <f>'Model inputs'!W47+'Model inputs'!W45-'Model inputs'!W15</f>
        <v>734.6104976195209</v>
      </c>
      <c r="AP5" s="12">
        <f>'Model inputs'!X46+'Model inputs'!X44-'Model inputs'!X14</f>
        <v>76.8996579502147</v>
      </c>
      <c r="AQ5" s="12">
        <f>'Model inputs'!X47+'Model inputs'!X45-'Model inputs'!X15</f>
        <v>896.2248070958155</v>
      </c>
      <c r="AR5" s="12">
        <f>'Model inputs'!Y46+'Model inputs'!Y44-'Model inputs'!Y14</f>
        <v>86.12761690424047</v>
      </c>
      <c r="AS5" s="12">
        <f>'Model inputs'!Y47+'Model inputs'!Y45-'Model inputs'!Y15</f>
        <v>1093.394264656895</v>
      </c>
      <c r="AT5" s="12">
        <f>'Model inputs'!Z46+'Model inputs'!Z44-'Model inputs'!Z14</f>
        <v>96.46293093274933</v>
      </c>
      <c r="AU5" s="12">
        <f>'Model inputs'!Z47+'Model inputs'!Z45-'Model inputs'!Z15</f>
        <v>1333.941002881412</v>
      </c>
      <c r="AV5" s="12">
        <f>'Model inputs'!B46+'Model inputs'!B44-'Model inputs'!B14</f>
        <v>108.03848264467925</v>
      </c>
      <c r="AW5" s="12">
        <f>'Model inputs'!B47+'Model inputs'!B45-'Model inputs'!B15</f>
        <v>1627.4080235153226</v>
      </c>
    </row>
    <row r="6">
      <c r="A6" t="inlineStr" s="7">
        <is>
          <t xml:space="preserve">Revenue</t>
        </is>
      </c>
      <c r="B6" s="9">
        <f>'Model inputs'!D66+'Model inputs'!D49</f>
        <v>163.33333333333334</v>
      </c>
      <c r="C6" s="9">
        <f>'Model inputs'!D67+'Model inputs'!D50</f>
        <v>408.33333333333337</v>
      </c>
      <c r="D6" s="9">
        <f>'Model inputs'!E66+'Model inputs'!E49</f>
        <v>326.66666666666674</v>
      </c>
      <c r="E6" s="9">
        <f>'Model inputs'!E67+'Model inputs'!E50</f>
        <v>816.6666666666667</v>
      </c>
      <c r="F6" s="9">
        <f>'Model inputs'!F66+'Model inputs'!F49</f>
        <v>490.0000000000001</v>
      </c>
      <c r="G6" s="9">
        <f>'Model inputs'!F67+'Model inputs'!F50</f>
        <v>1225</v>
      </c>
      <c r="H6" s="9">
        <f>'Model inputs'!G66+'Model inputs'!G49</f>
        <v>548.8000000000001</v>
      </c>
      <c r="I6" s="9">
        <f>'Model inputs'!G67+'Model inputs'!G50</f>
        <v>1494.5</v>
      </c>
      <c r="J6" s="9">
        <f>'Model inputs'!H66+'Model inputs'!H49</f>
        <v>614.6560000000001</v>
      </c>
      <c r="K6" s="9">
        <f>'Model inputs'!H67+'Model inputs'!H50</f>
        <v>1823.29</v>
      </c>
      <c r="L6" s="9">
        <f>'Model inputs'!I66+'Model inputs'!I49</f>
        <v>688.4147200000001</v>
      </c>
      <c r="M6" s="9">
        <f>'Model inputs'!I67+'Model inputs'!I50</f>
        <v>2224.4138</v>
      </c>
      <c r="N6" s="9">
        <f>'Model inputs'!J66+'Model inputs'!J49</f>
        <v>771.0244864</v>
      </c>
      <c r="O6" s="9">
        <f>'Model inputs'!J67+'Model inputs'!J50</f>
        <v>2713.784836</v>
      </c>
      <c r="P6" s="9">
        <f>'Model inputs'!K66+'Model inputs'!K49</f>
        <v>863.547424768</v>
      </c>
      <c r="Q6" s="9">
        <f>'Model inputs'!K67+'Model inputs'!K50</f>
        <v>3310.8174999200005</v>
      </c>
      <c r="R6" s="9">
        <f>'Model inputs'!L66+'Model inputs'!L49</f>
        <v>967.1731157401598</v>
      </c>
      <c r="S6" s="9">
        <f>'Model inputs'!L67+'Model inputs'!L50</f>
        <v>4039.1973499024</v>
      </c>
      <c r="T6" s="9">
        <f>'Model inputs'!M66+'Model inputs'!M49</f>
        <v>1083.2338896289791</v>
      </c>
      <c r="U6" s="9">
        <f>'Model inputs'!M67+'Model inputs'!M50</f>
        <v>4927.820766880929</v>
      </c>
      <c r="V6" s="9">
        <f>'Model inputs'!N66+'Model inputs'!N49</f>
        <v>1213.2219563844565</v>
      </c>
      <c r="W6" s="9">
        <f>'Model inputs'!N67+'Model inputs'!N50</f>
        <v>6011.941335594734</v>
      </c>
      <c r="X6" s="9">
        <f>'Model inputs'!O66+'Model inputs'!O49</f>
        <v>1358.8085911505914</v>
      </c>
      <c r="Y6" s="9">
        <f>'Model inputs'!O67+'Model inputs'!O50</f>
        <v>7334.568429425574</v>
      </c>
      <c r="Z6" s="9">
        <f>'Model inputs'!P66+'Model inputs'!P49</f>
        <v>1521.8656220886623</v>
      </c>
      <c r="AA6" s="9">
        <f>'Model inputs'!P67+'Model inputs'!P50</f>
        <v>8948.173483899202</v>
      </c>
      <c r="AB6" s="9">
        <f>'Model inputs'!Q66+'Model inputs'!Q49</f>
        <v>1704.4894967393016</v>
      </c>
      <c r="AC6" s="9">
        <f>'Model inputs'!Q67+'Model inputs'!Q50</f>
        <v>10916.771650357026</v>
      </c>
      <c r="AD6" s="9">
        <f>'Model inputs'!R66+'Model inputs'!R49</f>
        <v>1909.028236348018</v>
      </c>
      <c r="AE6" s="9">
        <f>'Model inputs'!R67+'Model inputs'!R50</f>
        <v>13318.46141343557</v>
      </c>
      <c r="AF6" s="9">
        <f>'Model inputs'!S66+'Model inputs'!S49</f>
        <v>2138.1116247097802</v>
      </c>
      <c r="AG6" s="9">
        <f>'Model inputs'!S67+'Model inputs'!S50</f>
        <v>16248.522924391398</v>
      </c>
      <c r="AH6" s="9">
        <f>'Model inputs'!T66+'Model inputs'!T49</f>
        <v>2394.6850196749538</v>
      </c>
      <c r="AI6" s="9">
        <f>'Model inputs'!T67+'Model inputs'!T50</f>
        <v>19823.197967757507</v>
      </c>
      <c r="AJ6" s="9">
        <f>'Model inputs'!U66+'Model inputs'!U49</f>
        <v>2682.047222035948</v>
      </c>
      <c r="AK6" s="9">
        <f>'Model inputs'!U67+'Model inputs'!U50</f>
        <v>24184.301520664158</v>
      </c>
      <c r="AL6" s="9">
        <f>'Model inputs'!V66+'Model inputs'!V49</f>
        <v>3003.892888680262</v>
      </c>
      <c r="AM6" s="9">
        <f>'Model inputs'!V67+'Model inputs'!V50</f>
        <v>29504.847855210268</v>
      </c>
      <c r="AN6" s="9">
        <f>'Model inputs'!W66+'Model inputs'!W49</f>
        <v>3364.3600353218935</v>
      </c>
      <c r="AO6" s="9">
        <f>'Model inputs'!W67+'Model inputs'!W50</f>
        <v>35995.914383356525</v>
      </c>
      <c r="AP6" s="9">
        <f>'Model inputs'!X66+'Model inputs'!X49</f>
        <v>3768.0832395605203</v>
      </c>
      <c r="AQ6" s="9">
        <f>'Model inputs'!X67+'Model inputs'!X50</f>
        <v>43915.01554769496</v>
      </c>
      <c r="AR6" s="9">
        <f>'Model inputs'!Y66+'Model inputs'!Y49</f>
        <v>4220.253228307783</v>
      </c>
      <c r="AS6" s="9">
        <f>'Model inputs'!Y67+'Model inputs'!Y50</f>
        <v>53576.31896818786</v>
      </c>
      <c r="AT6" s="9">
        <f>'Model inputs'!Z66+'Model inputs'!Z49</f>
        <v>4726.683615704717</v>
      </c>
      <c r="AU6" s="9">
        <f>'Model inputs'!Z67+'Model inputs'!Z50</f>
        <v>65363.10914118919</v>
      </c>
      <c r="AV6" s="9">
        <f>'Model inputs'!B66+'Model inputs'!B49</f>
        <v>5293.885649589283</v>
      </c>
      <c r="AW6" s="9">
        <f>'Model inputs'!B67+'Model inputs'!B50</f>
        <v>79742.99315225081</v>
      </c>
    </row>
    <row r="7">
      <c r="A7" t="inlineStr" s="7">
        <is>
          <t xml:space="preserve">Cost of revenue</t>
        </is>
      </c>
      <c r="B7" s="9">
        <f>'Model inputs'!D33+'Model inputs'!D17+'Model inputs'!D19+'Model inputs'!D52</f>
        <v>7.333333333333334</v>
      </c>
      <c r="C7" s="9">
        <f>'Model inputs'!D34+'Model inputs'!D18+'Model inputs'!D20+'Model inputs'!D53</f>
        <v>18.333333333333336</v>
      </c>
      <c r="D7" s="9">
        <f>'Model inputs'!E33+'Model inputs'!E17+'Model inputs'!E19+'Model inputs'!E52</f>
        <v>14.666666666666668</v>
      </c>
      <c r="E7" s="9">
        <f>'Model inputs'!E34+'Model inputs'!E18+'Model inputs'!E20+'Model inputs'!E53</f>
        <v>36.66666666666667</v>
      </c>
      <c r="F7" s="9">
        <f>'Model inputs'!F33+'Model inputs'!F17+'Model inputs'!F19+'Model inputs'!F52</f>
        <v>22.000000000000004</v>
      </c>
      <c r="G7" s="9">
        <f>'Model inputs'!F34+'Model inputs'!F18+'Model inputs'!F20+'Model inputs'!F53</f>
        <v>55</v>
      </c>
      <c r="H7" s="9">
        <f>'Model inputs'!G33+'Model inputs'!G17+'Model inputs'!G19+'Model inputs'!G52</f>
        <v>24.640000000000004</v>
      </c>
      <c r="I7" s="9">
        <f>'Model inputs'!G34+'Model inputs'!G18+'Model inputs'!G20+'Model inputs'!G53</f>
        <v>67.1</v>
      </c>
      <c r="J7" s="9">
        <f>'Model inputs'!H33+'Model inputs'!H17+'Model inputs'!H19+'Model inputs'!H52</f>
        <v>27.596799999999998</v>
      </c>
      <c r="K7" s="9">
        <f>'Model inputs'!H34+'Model inputs'!H18+'Model inputs'!H20+'Model inputs'!H53</f>
        <v>81.86200000000001</v>
      </c>
      <c r="L7" s="9">
        <f>'Model inputs'!I33+'Model inputs'!I17+'Model inputs'!I19+'Model inputs'!I52</f>
        <v>30.908416000000003</v>
      </c>
      <c r="M7" s="9">
        <f>'Model inputs'!I34+'Model inputs'!I18+'Model inputs'!I20+'Model inputs'!I53</f>
        <v>99.87164</v>
      </c>
      <c r="N7" s="9">
        <f>'Model inputs'!J33+'Model inputs'!J17+'Model inputs'!J19+'Model inputs'!J52</f>
        <v>34.61742592</v>
      </c>
      <c r="O7" s="9">
        <f>'Model inputs'!J34+'Model inputs'!J18+'Model inputs'!J20+'Model inputs'!J53</f>
        <v>121.8434008</v>
      </c>
      <c r="P7" s="9">
        <f>'Model inputs'!K33+'Model inputs'!K17+'Model inputs'!K19+'Model inputs'!K52</f>
        <v>38.771517030400005</v>
      </c>
      <c r="Q7" s="9">
        <f>'Model inputs'!K34+'Model inputs'!K18+'Model inputs'!K20+'Model inputs'!K53</f>
        <v>148.648948976</v>
      </c>
      <c r="R7" s="9">
        <f>'Model inputs'!L33+'Model inputs'!L17+'Model inputs'!L19+'Model inputs'!L52</f>
        <v>43.424099074047994</v>
      </c>
      <c r="S7" s="9">
        <f>'Model inputs'!L34+'Model inputs'!L18+'Model inputs'!L20+'Model inputs'!L53</f>
        <v>181.35171775072</v>
      </c>
      <c r="T7" s="9">
        <f>'Model inputs'!M33+'Model inputs'!M17+'Model inputs'!M19+'Model inputs'!M52</f>
        <v>48.634990962933756</v>
      </c>
      <c r="U7" s="9">
        <f>'Model inputs'!M34+'Model inputs'!M18+'Model inputs'!M20+'Model inputs'!M53</f>
        <v>221.24909565587842</v>
      </c>
      <c r="V7" s="9">
        <f>'Model inputs'!N33+'Model inputs'!N17+'Model inputs'!N19+'Model inputs'!N52</f>
        <v>54.4711898784858</v>
      </c>
      <c r="W7" s="9">
        <f>'Model inputs'!N34+'Model inputs'!N18+'Model inputs'!N20+'Model inputs'!N53</f>
        <v>269.9238967001717</v>
      </c>
      <c r="X7" s="9">
        <f>'Model inputs'!O33+'Model inputs'!O17+'Model inputs'!O19+'Model inputs'!O52</f>
        <v>61.0077326639041</v>
      </c>
      <c r="Y7" s="9">
        <f>'Model inputs'!O34+'Model inputs'!O18+'Model inputs'!O20+'Model inputs'!O53</f>
        <v>329.3071539742095</v>
      </c>
      <c r="Z7" s="9">
        <f>'Model inputs'!P33+'Model inputs'!P17+'Model inputs'!P19+'Model inputs'!P52</f>
        <v>68.3286605835726</v>
      </c>
      <c r="AA7" s="9">
        <f>'Model inputs'!P34+'Model inputs'!P18+'Model inputs'!P20+'Model inputs'!P53</f>
        <v>401.7547278485356</v>
      </c>
      <c r="AB7" s="9">
        <f>'Model inputs'!Q33+'Model inputs'!Q17+'Model inputs'!Q19+'Model inputs'!Q52</f>
        <v>76.52809985360129</v>
      </c>
      <c r="AC7" s="9">
        <f>'Model inputs'!Q34+'Model inputs'!Q18+'Model inputs'!Q20+'Model inputs'!Q53</f>
        <v>490.1407679752134</v>
      </c>
      <c r="AD7" s="9">
        <f>'Model inputs'!R33+'Model inputs'!R17+'Model inputs'!R19+'Model inputs'!R52</f>
        <v>85.71147183603347</v>
      </c>
      <c r="AE7" s="9">
        <f>'Model inputs'!R34+'Model inputs'!R18+'Model inputs'!R20+'Model inputs'!R53</f>
        <v>597.9717369297603</v>
      </c>
      <c r="AF7" s="9">
        <f>'Model inputs'!S33+'Model inputs'!S17+'Model inputs'!S19+'Model inputs'!S52</f>
        <v>95.99684845635747</v>
      </c>
      <c r="AG7" s="9">
        <f>'Model inputs'!S34+'Model inputs'!S18+'Model inputs'!S20+'Model inputs'!S53</f>
        <v>729.5255190543077</v>
      </c>
      <c r="AH7" s="9">
        <f>'Model inputs'!T33+'Model inputs'!T17+'Model inputs'!T19+'Model inputs'!T52</f>
        <v>107.51647027112038</v>
      </c>
      <c r="AI7" s="9">
        <f>'Model inputs'!T34+'Model inputs'!T18+'Model inputs'!T20+'Model inputs'!T53</f>
        <v>890.0211332462553</v>
      </c>
      <c r="AJ7" s="9">
        <f>'Model inputs'!U33+'Model inputs'!U17+'Model inputs'!U19+'Model inputs'!U52</f>
        <v>120.41844670365481</v>
      </c>
      <c r="AK7" s="9">
        <f>'Model inputs'!U34+'Model inputs'!U18+'Model inputs'!U20+'Model inputs'!U53</f>
        <v>1085.8257825604317</v>
      </c>
      <c r="AL7" s="9">
        <f>'Model inputs'!V33+'Model inputs'!V17+'Model inputs'!V19+'Model inputs'!V52</f>
        <v>134.86866030809338</v>
      </c>
      <c r="AM7" s="9">
        <f>'Model inputs'!V34+'Model inputs'!V18+'Model inputs'!V20+'Model inputs'!V53</f>
        <v>1324.7074547237264</v>
      </c>
      <c r="AN7" s="9">
        <f>'Model inputs'!W33+'Model inputs'!W17+'Model inputs'!W19+'Model inputs'!W52</f>
        <v>151.0528995450646</v>
      </c>
      <c r="AO7" s="9">
        <f>'Model inputs'!W34+'Model inputs'!W18+'Model inputs'!W20+'Model inputs'!W53</f>
        <v>1616.1430947629458</v>
      </c>
      <c r="AP7" s="9">
        <f>'Model inputs'!X33+'Model inputs'!X17+'Model inputs'!X19+'Model inputs'!X52</f>
        <v>169.17924749047233</v>
      </c>
      <c r="AQ7" s="9">
        <f>'Model inputs'!X34+'Model inputs'!X18+'Model inputs'!X20+'Model inputs'!X53</f>
        <v>1971.6945756107941</v>
      </c>
      <c r="AR7" s="9">
        <f>'Model inputs'!Y33+'Model inputs'!Y17+'Model inputs'!Y19+'Model inputs'!Y52</f>
        <v>189.480757189329</v>
      </c>
      <c r="AS7" s="9">
        <f>'Model inputs'!Y34+'Model inputs'!Y18+'Model inputs'!Y20+'Model inputs'!Y53</f>
        <v>2405.467382245169</v>
      </c>
      <c r="AT7" s="9">
        <f>'Model inputs'!Z33+'Model inputs'!Z17+'Model inputs'!Z19+'Model inputs'!Z52</f>
        <v>212.21844805204853</v>
      </c>
      <c r="AU7" s="9">
        <f>'Model inputs'!Z34+'Model inputs'!Z18+'Model inputs'!Z20+'Model inputs'!Z53</f>
        <v>2934.6702063391067</v>
      </c>
      <c r="AV7" s="9">
        <f>'Model inputs'!B33+'Model inputs'!B17+'Model inputs'!B19+'Model inputs'!B52</f>
        <v>237.68466181829433</v>
      </c>
      <c r="AW7" s="9">
        <f>'Model inputs'!B34+'Model inputs'!B18+'Model inputs'!B20+'Model inputs'!B53</f>
        <v>3580.2976517337097</v>
      </c>
    </row>
    <row r="8">
      <c r="A8" t="inlineStr" s="7">
        <is>
          <t xml:space="preserve">Gross margin</t>
        </is>
      </c>
      <c r="B8" s="11">
        <f>IFERROR('Model inputs'!D31/'Base and upside comparison'!B6,"")</f>
        <v>0.9551020408163264</v>
      </c>
      <c r="C8" s="11">
        <f>IFERROR('Model inputs'!D32/'Base and upside comparison'!C6,"")</f>
        <v>0.9551020408163265</v>
      </c>
      <c r="D8" s="11">
        <f>IFERROR('Model inputs'!E31/'Base and upside comparison'!D6,"")</f>
        <v>0.9551020408163264</v>
      </c>
      <c r="E8" s="11">
        <f>IFERROR('Model inputs'!E32/'Base and upside comparison'!E6,"")</f>
        <v>0.9551020408163265</v>
      </c>
      <c r="F8" s="11">
        <f>IFERROR('Model inputs'!F31/'Base and upside comparison'!F6,"")</f>
        <v>0.9551020408163265</v>
      </c>
      <c r="G8" s="11">
        <f>IFERROR('Model inputs'!F32/'Base and upside comparison'!G6,"")</f>
        <v>0.9551020408163265</v>
      </c>
      <c r="H8" s="11">
        <f>IFERROR('Model inputs'!G31/'Base and upside comparison'!H6,"")</f>
        <v>0.9551020408163265</v>
      </c>
      <c r="I8" s="11">
        <f>IFERROR('Model inputs'!G32/'Base and upside comparison'!I6,"")</f>
        <v>0.9551020408163265</v>
      </c>
      <c r="J8" s="11">
        <f>IFERROR('Model inputs'!H31/'Base and upside comparison'!J6,"")</f>
        <v>0.9551020408163264</v>
      </c>
      <c r="K8" s="11">
        <f>IFERROR('Model inputs'!H32/'Base and upside comparison'!K6,"")</f>
        <v>0.9551020408163264</v>
      </c>
      <c r="L8" s="11">
        <f>IFERROR('Model inputs'!I31/'Base and upside comparison'!L6,"")</f>
        <v>0.9551020408163265</v>
      </c>
      <c r="M8" s="11">
        <f>IFERROR('Model inputs'!I32/'Base and upside comparison'!M6,"")</f>
        <v>0.9551020408163265</v>
      </c>
      <c r="N8" s="11">
        <f>IFERROR('Model inputs'!J31/'Base and upside comparison'!N6,"")</f>
        <v>0.9551020408163265</v>
      </c>
      <c r="O8" s="11">
        <f>IFERROR('Model inputs'!J32/'Base and upside comparison'!O6,"")</f>
        <v>0.9551020408163265</v>
      </c>
      <c r="P8" s="11">
        <f>IFERROR('Model inputs'!K31/'Base and upside comparison'!P6,"")</f>
        <v>0.9551020408163265</v>
      </c>
      <c r="Q8" s="11">
        <f>IFERROR('Model inputs'!K32/'Base and upside comparison'!Q6,"")</f>
        <v>0.9551020408163264</v>
      </c>
      <c r="R8" s="11">
        <f>IFERROR('Model inputs'!L31/'Base and upside comparison'!R6,"")</f>
        <v>0.9551020408163265</v>
      </c>
      <c r="S8" s="11">
        <f>IFERROR('Model inputs'!L32/'Base and upside comparison'!S6,"")</f>
        <v>0.9551020408163265</v>
      </c>
      <c r="T8" s="11">
        <f>IFERROR('Model inputs'!M31/'Base and upside comparison'!T6,"")</f>
        <v>0.9551020408163267</v>
      </c>
      <c r="U8" s="11">
        <f>IFERROR('Model inputs'!M32/'Base and upside comparison'!U6,"")</f>
        <v>0.9551020408163265</v>
      </c>
      <c r="V8" s="11">
        <f>IFERROR('Model inputs'!N31/'Base and upside comparison'!V6,"")</f>
        <v>0.9551020408163265</v>
      </c>
      <c r="W8" s="11">
        <f>IFERROR('Model inputs'!N32/'Base and upside comparison'!W6,"")</f>
        <v>0.9551020408163264</v>
      </c>
      <c r="X8" s="11">
        <f>IFERROR('Model inputs'!O31/'Base and upside comparison'!X6,"")</f>
        <v>0.9551020408163265</v>
      </c>
      <c r="Y8" s="11">
        <f>IFERROR('Model inputs'!O32/'Base and upside comparison'!Y6,"")</f>
        <v>0.9551020408163265</v>
      </c>
      <c r="Z8" s="11">
        <f>IFERROR('Model inputs'!P31/'Base and upside comparison'!Z6,"")</f>
        <v>0.9551020408163265</v>
      </c>
      <c r="AA8" s="11">
        <f>IFERROR('Model inputs'!P32/'Base and upside comparison'!AA6,"")</f>
        <v>0.9551020408163264</v>
      </c>
      <c r="AB8" s="11">
        <f>IFERROR('Model inputs'!Q31/'Base and upside comparison'!AB6,"")</f>
        <v>0.9551020408163264</v>
      </c>
      <c r="AC8" s="11">
        <f>IFERROR('Model inputs'!Q32/'Base and upside comparison'!AC6,"")</f>
        <v>0.9551020408163265</v>
      </c>
      <c r="AD8" s="11">
        <f>IFERROR('Model inputs'!R31/'Base and upside comparison'!AD6,"")</f>
        <v>0.9551020408163265</v>
      </c>
      <c r="AE8" s="11">
        <f>IFERROR('Model inputs'!R32/'Base and upside comparison'!AE6,"")</f>
        <v>0.9551020408163265</v>
      </c>
      <c r="AF8" s="11">
        <f>IFERROR('Model inputs'!S31/'Base and upside comparison'!AF6,"")</f>
        <v>0.9551020408163265</v>
      </c>
      <c r="AG8" s="11">
        <f>IFERROR('Model inputs'!S32/'Base and upside comparison'!AG6,"")</f>
        <v>0.9551020408163264</v>
      </c>
      <c r="AH8" s="11">
        <f>IFERROR('Model inputs'!T31/'Base and upside comparison'!AH6,"")</f>
        <v>0.9551020408163265</v>
      </c>
      <c r="AI8" s="11">
        <f>IFERROR('Model inputs'!T32/'Base and upside comparison'!AI6,"")</f>
        <v>0.9551020408163264</v>
      </c>
      <c r="AJ8" s="11">
        <f>IFERROR('Model inputs'!U31/'Base and upside comparison'!AJ6,"")</f>
        <v>0.9551020408163265</v>
      </c>
      <c r="AK8" s="11">
        <f>IFERROR('Model inputs'!U32/'Base and upside comparison'!AK6,"")</f>
        <v>0.9551020408163265</v>
      </c>
      <c r="AL8" s="11">
        <f>IFERROR('Model inputs'!V31/'Base and upside comparison'!AL6,"")</f>
        <v>0.9551020408163265</v>
      </c>
      <c r="AM8" s="11">
        <f>IFERROR('Model inputs'!V32/'Base and upside comparison'!AM6,"")</f>
        <v>0.9551020408163264</v>
      </c>
      <c r="AN8" s="11">
        <f>IFERROR('Model inputs'!W31/'Base and upside comparison'!AN6,"")</f>
        <v>0.9551020408163265</v>
      </c>
      <c r="AO8" s="11">
        <f>IFERROR('Model inputs'!W32/'Base and upside comparison'!AO6,"")</f>
        <v>0.9551020408163264</v>
      </c>
      <c r="AP8" s="11">
        <f>IFERROR('Model inputs'!X31/'Base and upside comparison'!AP6,"")</f>
        <v>0.9551020408163265</v>
      </c>
      <c r="AQ8" s="11">
        <f>IFERROR('Model inputs'!X32/'Base and upside comparison'!AQ6,"")</f>
        <v>0.9551020408163264</v>
      </c>
      <c r="AR8" s="11">
        <f>IFERROR('Model inputs'!Y31/'Base and upside comparison'!AR6,"")</f>
        <v>0.9551020408163265</v>
      </c>
      <c r="AS8" s="11">
        <f>IFERROR('Model inputs'!Y32/'Base and upside comparison'!AS6,"")</f>
        <v>0.9551020408163265</v>
      </c>
      <c r="AT8" s="11">
        <f>IFERROR('Model inputs'!Z31/'Base and upside comparison'!AT6,"")</f>
        <v>0.9551020408163267</v>
      </c>
      <c r="AU8" s="11">
        <f>IFERROR('Model inputs'!Z32/'Base and upside comparison'!AU6,"")</f>
        <v>0.9551020408163265</v>
      </c>
      <c r="AV8" s="11">
        <f>IFERROR('Model inputs'!B31/'Base and upside comparison'!AV6,"")</f>
        <v>0.9551020408163265</v>
      </c>
      <c r="AW8" s="11">
        <f>IFERROR('Model inputs'!B32/'Base and upside comparison'!AW6,"")</f>
        <v>0.9551020408163265</v>
      </c>
    </row>
    <row r="9">
      <c r="A9" t="inlineStr" s="7">
        <is>
          <t xml:space="preserve">Operating costs</t>
        </is>
      </c>
      <c r="B9" s="9">
        <f>'Model inputs'!D29+'Model inputs'!D21</f>
        <v>300</v>
      </c>
      <c r="C9" s="9">
        <f>'Model inputs'!D30+'Model inputs'!D22</f>
        <v>300</v>
      </c>
      <c r="D9" s="9">
        <f>'Model inputs'!E29+'Model inputs'!E21</f>
        <v>300</v>
      </c>
      <c r="E9" s="9">
        <f>'Model inputs'!E30+'Model inputs'!E22</f>
        <v>300</v>
      </c>
      <c r="F9" s="9">
        <f>'Model inputs'!F29+'Model inputs'!F21</f>
        <v>300</v>
      </c>
      <c r="G9" s="9">
        <f>'Model inputs'!F30+'Model inputs'!F22</f>
        <v>300</v>
      </c>
      <c r="H9" s="9">
        <f>'Model inputs'!G29+'Model inputs'!G21</f>
        <v>300</v>
      </c>
      <c r="I9" s="9">
        <f>'Model inputs'!G30+'Model inputs'!G22</f>
        <v>300</v>
      </c>
      <c r="J9" s="9">
        <f>'Model inputs'!H29+'Model inputs'!H21</f>
        <v>300</v>
      </c>
      <c r="K9" s="9">
        <f>'Model inputs'!H30+'Model inputs'!H22</f>
        <v>300</v>
      </c>
      <c r="L9" s="9">
        <f>'Model inputs'!I29+'Model inputs'!I21</f>
        <v>300</v>
      </c>
      <c r="M9" s="9">
        <f>'Model inputs'!I30+'Model inputs'!I22</f>
        <v>300</v>
      </c>
      <c r="N9" s="9">
        <f>'Model inputs'!J29+'Model inputs'!J21</f>
        <v>300</v>
      </c>
      <c r="O9" s="9">
        <f>'Model inputs'!J30+'Model inputs'!J22</f>
        <v>300</v>
      </c>
      <c r="P9" s="9">
        <f>'Model inputs'!K29+'Model inputs'!K21</f>
        <v>300</v>
      </c>
      <c r="Q9" s="9">
        <f>'Model inputs'!K30+'Model inputs'!K22</f>
        <v>300</v>
      </c>
      <c r="R9" s="9">
        <f>'Model inputs'!L29+'Model inputs'!L21</f>
        <v>300</v>
      </c>
      <c r="S9" s="9">
        <f>'Model inputs'!L30+'Model inputs'!L22</f>
        <v>300</v>
      </c>
      <c r="T9" s="9">
        <f>'Model inputs'!M29+'Model inputs'!M21</f>
        <v>300</v>
      </c>
      <c r="U9" s="9">
        <f>'Model inputs'!M30+'Model inputs'!M22</f>
        <v>300</v>
      </c>
      <c r="V9" s="9">
        <f>'Model inputs'!N29+'Model inputs'!N21</f>
        <v>300</v>
      </c>
      <c r="W9" s="9">
        <f>'Model inputs'!N30+'Model inputs'!N22</f>
        <v>300</v>
      </c>
      <c r="X9" s="9">
        <f>'Model inputs'!O29+'Model inputs'!O21</f>
        <v>300</v>
      </c>
      <c r="Y9" s="9">
        <f>'Model inputs'!O30+'Model inputs'!O22</f>
        <v>300</v>
      </c>
      <c r="Z9" s="9">
        <f>'Model inputs'!P29+'Model inputs'!P21</f>
        <v>300</v>
      </c>
      <c r="AA9" s="9">
        <f>'Model inputs'!P30+'Model inputs'!P22</f>
        <v>300</v>
      </c>
      <c r="AB9" s="9">
        <f>'Model inputs'!Q29+'Model inputs'!Q21</f>
        <v>300</v>
      </c>
      <c r="AC9" s="9">
        <f>'Model inputs'!Q30+'Model inputs'!Q22</f>
        <v>300</v>
      </c>
      <c r="AD9" s="9">
        <f>'Model inputs'!R29+'Model inputs'!R21</f>
        <v>300</v>
      </c>
      <c r="AE9" s="9">
        <f>'Model inputs'!R30+'Model inputs'!R22</f>
        <v>300</v>
      </c>
      <c r="AF9" s="9">
        <f>'Model inputs'!S29+'Model inputs'!S21</f>
        <v>300</v>
      </c>
      <c r="AG9" s="9">
        <f>'Model inputs'!S30+'Model inputs'!S22</f>
        <v>300</v>
      </c>
      <c r="AH9" s="9">
        <f>'Model inputs'!T29+'Model inputs'!T21</f>
        <v>300</v>
      </c>
      <c r="AI9" s="9">
        <f>'Model inputs'!T30+'Model inputs'!T22</f>
        <v>300</v>
      </c>
      <c r="AJ9" s="9">
        <f>'Model inputs'!U29+'Model inputs'!U21</f>
        <v>300</v>
      </c>
      <c r="AK9" s="9">
        <f>'Model inputs'!U30+'Model inputs'!U22</f>
        <v>300</v>
      </c>
      <c r="AL9" s="9">
        <f>'Model inputs'!V29+'Model inputs'!V21</f>
        <v>300</v>
      </c>
      <c r="AM9" s="9">
        <f>'Model inputs'!V30+'Model inputs'!V22</f>
        <v>300</v>
      </c>
      <c r="AN9" s="9">
        <f>'Model inputs'!W29+'Model inputs'!W21</f>
        <v>300</v>
      </c>
      <c r="AO9" s="9">
        <f>'Model inputs'!W30+'Model inputs'!W22</f>
        <v>300</v>
      </c>
      <c r="AP9" s="9">
        <f>'Model inputs'!X29+'Model inputs'!X21</f>
        <v>300</v>
      </c>
      <c r="AQ9" s="9">
        <f>'Model inputs'!X30+'Model inputs'!X22</f>
        <v>300</v>
      </c>
      <c r="AR9" s="9">
        <f>'Model inputs'!Y29+'Model inputs'!Y21</f>
        <v>300</v>
      </c>
      <c r="AS9" s="9">
        <f>'Model inputs'!Y30+'Model inputs'!Y22</f>
        <v>300</v>
      </c>
      <c r="AT9" s="9">
        <f>'Model inputs'!Z29+'Model inputs'!Z21</f>
        <v>300</v>
      </c>
      <c r="AU9" s="9">
        <f>'Model inputs'!Z30+'Model inputs'!Z22</f>
        <v>300</v>
      </c>
      <c r="AV9" s="9">
        <f>'Model inputs'!B29+'Model inputs'!B21</f>
        <v>300</v>
      </c>
      <c r="AW9" s="9">
        <f>'Model inputs'!B30+'Model inputs'!B22</f>
        <v>300</v>
      </c>
    </row>
    <row r="10">
      <c r="A10" t="inlineStr" s="7">
        <is>
          <t xml:space="preserve">Operating profit</t>
        </is>
      </c>
      <c r="B10" s="9">
        <f>'Model inputs'!D31-'Base and upside comparison'!B9</f>
        <v>-144</v>
      </c>
      <c r="C10" s="9">
        <f>'Model inputs'!D32-'Base and upside comparison'!C9</f>
        <v>90.00000000000006</v>
      </c>
      <c r="D10" s="9">
        <f>'Model inputs'!E31-'Base and upside comparison'!D9</f>
        <v>12.000000000000057</v>
      </c>
      <c r="E10" s="9">
        <f>'Model inputs'!E32-'Base and upside comparison'!E9</f>
        <v>480.0000000000001</v>
      </c>
      <c r="F10" s="9">
        <f>'Model inputs'!F31-'Base and upside comparison'!F9</f>
        <v>168.0000000000001</v>
      </c>
      <c r="G10" s="9">
        <f>'Model inputs'!F32-'Base and upside comparison'!G9</f>
        <v>870</v>
      </c>
      <c r="H10" s="9">
        <f>'Model inputs'!G31-'Base and upside comparison'!H9</f>
        <v>224.16000000000008</v>
      </c>
      <c r="I10" s="9">
        <f>'Model inputs'!G32-'Base and upside comparison'!I9</f>
        <v>1127.4</v>
      </c>
      <c r="J10" s="9">
        <f>'Model inputs'!H31-'Base and upside comparison'!J9</f>
        <v>287.05920000000003</v>
      </c>
      <c r="K10" s="9">
        <f>'Model inputs'!H32-'Base and upside comparison'!K9</f>
        <v>1441.4279999999999</v>
      </c>
      <c r="L10" s="9">
        <f>'Model inputs'!I31-'Base and upside comparison'!L9</f>
        <v>357.5063040000001</v>
      </c>
      <c r="M10" s="9">
        <f>'Model inputs'!I32-'Base and upside comparison'!M9</f>
        <v>1824.54216</v>
      </c>
      <c r="N10" s="9">
        <f>'Model inputs'!J31-'Base and upside comparison'!N9</f>
        <v>436.40706048000004</v>
      </c>
      <c r="O10" s="9">
        <f>'Model inputs'!J32-'Base and upside comparison'!O9</f>
        <v>2291.9414352</v>
      </c>
      <c r="P10" s="9">
        <f>'Model inputs'!K31-'Base and upside comparison'!P9</f>
        <v>524.7759077376</v>
      </c>
      <c r="Q10" s="9">
        <f>'Model inputs'!K32-'Base and upside comparison'!Q9</f>
        <v>2862.1685509440003</v>
      </c>
      <c r="R10" s="9">
        <f>'Model inputs'!L31-'Base and upside comparison'!R9</f>
        <v>623.7490166661119</v>
      </c>
      <c r="S10" s="9">
        <f>'Model inputs'!L32-'Base and upside comparison'!S9</f>
        <v>3557.84563215168</v>
      </c>
      <c r="T10" s="9">
        <f>'Model inputs'!M31-'Base and upside comparison'!T9</f>
        <v>734.5988986660454</v>
      </c>
      <c r="U10" s="9">
        <f>'Model inputs'!M32-'Base and upside comparison'!U9</f>
        <v>4406.5716712250505</v>
      </c>
      <c r="V10" s="9">
        <f>'Model inputs'!N31-'Base and upside comparison'!V9</f>
        <v>858.7507665059707</v>
      </c>
      <c r="W10" s="9">
        <f>'Model inputs'!N32-'Base and upside comparison'!W9</f>
        <v>5442.017438894562</v>
      </c>
      <c r="X10" s="9">
        <f>'Model inputs'!O31-'Base and upside comparison'!X9</f>
        <v>997.8008584866873</v>
      </c>
      <c r="Y10" s="9">
        <f>'Model inputs'!O32-'Base and upside comparison'!Y9</f>
        <v>6705.261275451365</v>
      </c>
      <c r="Z10" s="9">
        <f>'Model inputs'!P31-'Base and upside comparison'!Z9</f>
        <v>1153.5369615050897</v>
      </c>
      <c r="AA10" s="9">
        <f>'Model inputs'!P32-'Base and upside comparison'!AA9</f>
        <v>8246.418756050665</v>
      </c>
      <c r="AB10" s="9">
        <f>'Model inputs'!Q31-'Base and upside comparison'!AB9</f>
        <v>1327.9613968857002</v>
      </c>
      <c r="AC10" s="9">
        <f>'Model inputs'!Q32-'Base and upside comparison'!AC9</f>
        <v>10126.630882381813</v>
      </c>
      <c r="AD10" s="9">
        <f>'Model inputs'!R31-'Base and upside comparison'!AD9</f>
        <v>1523.3167645119845</v>
      </c>
      <c r="AE10" s="9">
        <f>'Model inputs'!R32-'Base and upside comparison'!AE9</f>
        <v>12420.489676505811</v>
      </c>
      <c r="AF10" s="9">
        <f>'Model inputs'!S31-'Base and upside comparison'!AF9</f>
        <v>1742.1147762534229</v>
      </c>
      <c r="AG10" s="9">
        <f>'Model inputs'!S32-'Base and upside comparison'!AG9</f>
        <v>15218.99740533709</v>
      </c>
      <c r="AH10" s="9">
        <f>'Model inputs'!T31-'Base and upside comparison'!AH9</f>
        <v>1987.1685494038334</v>
      </c>
      <c r="AI10" s="9">
        <f>'Model inputs'!T32-'Base and upside comparison'!AI9</f>
        <v>18633.17683451125</v>
      </c>
      <c r="AJ10" s="9">
        <f>'Model inputs'!U31-'Base and upside comparison'!AJ9</f>
        <v>2261.628775332293</v>
      </c>
      <c r="AK10" s="9">
        <f>'Model inputs'!U32-'Base and upside comparison'!AK9</f>
        <v>22798.475738103727</v>
      </c>
      <c r="AL10" s="9">
        <f>'Model inputs'!V31-'Base and upside comparison'!AL9</f>
        <v>2569.0242283721686</v>
      </c>
      <c r="AM10" s="9">
        <f>'Model inputs'!V32-'Base and upside comparison'!AM9</f>
        <v>27880.14040048654</v>
      </c>
      <c r="AN10" s="9">
        <f>'Model inputs'!W31-'Base and upside comparison'!AN9</f>
        <v>2913.307135776829</v>
      </c>
      <c r="AO10" s="9">
        <f>'Model inputs'!W32-'Base and upside comparison'!AO9</f>
        <v>34079.771288593576</v>
      </c>
      <c r="AP10" s="9">
        <f>'Model inputs'!X31-'Base and upside comparison'!AP9</f>
        <v>3298.903992070048</v>
      </c>
      <c r="AQ10" s="9">
        <f>'Model inputs'!X32-'Base and upside comparison'!AQ9</f>
        <v>41643.32097208416</v>
      </c>
      <c r="AR10" s="9">
        <f>'Model inputs'!Y31-'Base and upside comparison'!AR9</f>
        <v>3730.7724711184537</v>
      </c>
      <c r="AS10" s="9">
        <f>'Model inputs'!Y32-'Base and upside comparison'!AS9</f>
        <v>50870.85158594269</v>
      </c>
      <c r="AT10" s="9">
        <f>'Model inputs'!Z31-'Base and upside comparison'!AT9</f>
        <v>4214.465167652669</v>
      </c>
      <c r="AU10" s="9">
        <f>'Model inputs'!Z32-'Base and upside comparison'!AU9</f>
        <v>62128.438934850084</v>
      </c>
      <c r="AV10" s="9">
        <f>'Model inputs'!B31-'Base and upside comparison'!AV9</f>
        <v>4756.200987770989</v>
      </c>
      <c r="AW10" s="9">
        <f>'Model inputs'!B32-'Base and upside comparison'!AW9</f>
        <v>75862.6955005171</v>
      </c>
    </row>
    <row r="11">
      <c r="A11" t="inlineStr" s="7">
        <is>
          <t xml:space="preserve">Monthly burn</t>
        </is>
      </c>
      <c r="B11" s="9">
        <f>MAX(0,-'Model inputs'!D42)</f>
        <v>144</v>
      </c>
      <c r="C11" s="9">
        <f>MAX(0,-'Model inputs'!D43)</f>
        <v>0</v>
      </c>
      <c r="D11" s="9">
        <f>MAX(0,-'Model inputs'!E42)</f>
        <v>0</v>
      </c>
      <c r="E11" s="9">
        <f>MAX(0,-'Model inputs'!E43)</f>
        <v>0</v>
      </c>
      <c r="F11" s="9">
        <f>MAX(0,-'Model inputs'!F42)</f>
        <v>0</v>
      </c>
      <c r="G11" s="9">
        <f>MAX(0,-'Model inputs'!F43)</f>
        <v>0</v>
      </c>
      <c r="H11" s="9">
        <f>MAX(0,-'Model inputs'!G42)</f>
        <v>0</v>
      </c>
      <c r="I11" s="9">
        <f>MAX(0,-'Model inputs'!G43)</f>
        <v>0</v>
      </c>
      <c r="J11" s="9">
        <f>MAX(0,-'Model inputs'!H42)</f>
        <v>0</v>
      </c>
      <c r="K11" s="9">
        <f>MAX(0,-'Model inputs'!H43)</f>
        <v>0</v>
      </c>
      <c r="L11" s="9">
        <f>MAX(0,-'Model inputs'!I42)</f>
        <v>0</v>
      </c>
      <c r="M11" s="9">
        <f>MAX(0,-'Model inputs'!I43)</f>
        <v>0</v>
      </c>
      <c r="N11" s="9">
        <f>MAX(0,-'Model inputs'!J42)</f>
        <v>0</v>
      </c>
      <c r="O11" s="9">
        <f>MAX(0,-'Model inputs'!J43)</f>
        <v>0</v>
      </c>
      <c r="P11" s="9">
        <f>MAX(0,-'Model inputs'!K42)</f>
        <v>0</v>
      </c>
      <c r="Q11" s="9">
        <f>MAX(0,-'Model inputs'!K43)</f>
        <v>0</v>
      </c>
      <c r="R11" s="9">
        <f>MAX(0,-'Model inputs'!L42)</f>
        <v>0</v>
      </c>
      <c r="S11" s="9">
        <f>MAX(0,-'Model inputs'!L43)</f>
        <v>0</v>
      </c>
      <c r="T11" s="9">
        <f>MAX(0,-'Model inputs'!M42)</f>
        <v>0</v>
      </c>
      <c r="U11" s="9">
        <f>MAX(0,-'Model inputs'!M43)</f>
        <v>0</v>
      </c>
      <c r="V11" s="9">
        <f>MAX(0,-'Model inputs'!N42)</f>
        <v>0</v>
      </c>
      <c r="W11" s="9">
        <f>MAX(0,-'Model inputs'!N43)</f>
        <v>0</v>
      </c>
      <c r="X11" s="9">
        <f>MAX(0,-'Model inputs'!O42)</f>
        <v>0</v>
      </c>
      <c r="Y11" s="9">
        <f>MAX(0,-'Model inputs'!O43)</f>
        <v>0</v>
      </c>
      <c r="Z11" s="9">
        <f>MAX(0,-'Model inputs'!P42)</f>
        <v>0</v>
      </c>
      <c r="AA11" s="9">
        <f>MAX(0,-'Model inputs'!P43)</f>
        <v>0</v>
      </c>
      <c r="AB11" s="9">
        <f>MAX(0,-'Model inputs'!Q42)</f>
        <v>0</v>
      </c>
      <c r="AC11" s="9">
        <f>MAX(0,-'Model inputs'!Q43)</f>
        <v>0</v>
      </c>
      <c r="AD11" s="9">
        <f>MAX(0,-'Model inputs'!R42)</f>
        <v>0</v>
      </c>
      <c r="AE11" s="9">
        <f>MAX(0,-'Model inputs'!R43)</f>
        <v>0</v>
      </c>
      <c r="AF11" s="9">
        <f>MAX(0,-'Model inputs'!S42)</f>
        <v>0</v>
      </c>
      <c r="AG11" s="9">
        <f>MAX(0,-'Model inputs'!S43)</f>
        <v>0</v>
      </c>
      <c r="AH11" s="9">
        <f>MAX(0,-'Model inputs'!T42)</f>
        <v>0</v>
      </c>
      <c r="AI11" s="9">
        <f>MAX(0,-'Model inputs'!T43)</f>
        <v>0</v>
      </c>
      <c r="AJ11" s="9">
        <f>MAX(0,-'Model inputs'!U42)</f>
        <v>0</v>
      </c>
      <c r="AK11" s="9">
        <f>MAX(0,-'Model inputs'!U43)</f>
        <v>0</v>
      </c>
      <c r="AL11" s="9">
        <f>MAX(0,-'Model inputs'!V42)</f>
        <v>0</v>
      </c>
      <c r="AM11" s="9">
        <f>MAX(0,-'Model inputs'!V43)</f>
        <v>0</v>
      </c>
      <c r="AN11" s="9">
        <f>MAX(0,-'Model inputs'!W42)</f>
        <v>0</v>
      </c>
      <c r="AO11" s="9">
        <f>MAX(0,-'Model inputs'!W43)</f>
        <v>0</v>
      </c>
      <c r="AP11" s="9">
        <f>MAX(0,-'Model inputs'!X42)</f>
        <v>0</v>
      </c>
      <c r="AQ11" s="9">
        <f>MAX(0,-'Model inputs'!X43)</f>
        <v>0</v>
      </c>
      <c r="AR11" s="9">
        <f>MAX(0,-'Model inputs'!Y42)</f>
        <v>0</v>
      </c>
      <c r="AS11" s="9">
        <f>MAX(0,-'Model inputs'!Y43)</f>
        <v>0</v>
      </c>
      <c r="AT11" s="9">
        <f>MAX(0,-'Model inputs'!Z42)</f>
        <v>0</v>
      </c>
      <c r="AU11" s="9">
        <f>MAX(0,-'Model inputs'!Z43)</f>
        <v>0</v>
      </c>
      <c r="AV11" s="9">
        <f>MAX(0,-'Model inputs'!B42)</f>
        <v>0</v>
      </c>
      <c r="AW11" s="9">
        <f>MAX(0,-'Model inputs'!B43)</f>
        <v>0</v>
      </c>
    </row>
    <row r="12">
      <c r="A12" t="inlineStr" s="7">
        <is>
          <t xml:space="preserve">Unfunded cash</t>
        </is>
      </c>
      <c r="B12" s="9">
        <f>IF(IF(IF(IF(ISERROR('Model inputs'!D23=1),'Model inputs'!D23=1,IF('Model inputs'!D23="","",'Model inputs'!D23=1))="",FALSE,IF(ISERROR('Model inputs'!D23=1),'Model inputs'!D23=1,IF('Model inputs'!D23="","",'Model inputs'!D23=1))),IF('Model inputs'!AB64="","",'Model inputs'!AB64),IF('Model inputs'!AA68="","",'Model inputs'!AA68))="",0,IF(IF(IF(ISERROR('Model inputs'!D23=1),'Model inputs'!D23=1,IF('Model inputs'!D23="","",'Model inputs'!D23=1))="",FALSE,IF(ISERROR('Model inputs'!D23=1),'Model inputs'!D23=1,IF('Model inputs'!D23="","",'Model inputs'!D23=1))),IF('Model inputs'!AB64="","",'Model inputs'!AB64),IF('Model inputs'!AA68="","",'Model inputs'!AA68)))+'Model inputs'!D42</f>
        <v>-144</v>
      </c>
      <c r="C12" s="9">
        <f>IF(IF(IF(IF(ISERROR('Model inputs'!D24=1),'Model inputs'!D24=1,IF('Model inputs'!D24="","",'Model inputs'!D24=1))="",FALSE,IF(ISERROR('Model inputs'!D24=1),'Model inputs'!D24=1,IF('Model inputs'!D24="","",'Model inputs'!D24=1))),IF('Model inputs'!AB65="","",'Model inputs'!AB65),IF('Model inputs'!AA69="","",'Model inputs'!AA69))="",0,IF(IF(IF(ISERROR('Model inputs'!D24=1),'Model inputs'!D24=1,IF('Model inputs'!D24="","",'Model inputs'!D24=1))="",FALSE,IF(ISERROR('Model inputs'!D24=1),'Model inputs'!D24=1,IF('Model inputs'!D24="","",'Model inputs'!D24=1))),IF('Model inputs'!AB65="","",'Model inputs'!AB65),IF('Model inputs'!AA69="","",'Model inputs'!AA69)))+'Model inputs'!D43</f>
        <v>90.00000000000006</v>
      </c>
      <c r="D12" s="9">
        <f>IF(IF(IF(IF(ISERROR('Model inputs'!E23=1),'Model inputs'!E23=1,IF('Model inputs'!E23="","",'Model inputs'!E23=1))="",FALSE,IF(ISERROR('Model inputs'!E23=1),'Model inputs'!E23=1,IF('Model inputs'!E23="","",'Model inputs'!E23=1))),IF('Model inputs'!AB64="","",'Model inputs'!AB64),IF('Base and upside comparison'!B12="","",'Base and upside comparison'!B12))="",0,IF(IF(IF(ISERROR('Model inputs'!E23=1),'Model inputs'!E23=1,IF('Model inputs'!E23="","",'Model inputs'!E23=1))="",FALSE,IF(ISERROR('Model inputs'!E23=1),'Model inputs'!E23=1,IF('Model inputs'!E23="","",'Model inputs'!E23=1))),IF('Model inputs'!AB64="","",'Model inputs'!AB64),IF('Base and upside comparison'!B12="","",'Base and upside comparison'!B12)))+'Model inputs'!E42</f>
        <v>-131.99999999999994</v>
      </c>
      <c r="E12" s="9">
        <f>IF(IF(IF(IF(ISERROR('Model inputs'!E24=1),'Model inputs'!E24=1,IF('Model inputs'!E24="","",'Model inputs'!E24=1))="",FALSE,IF(ISERROR('Model inputs'!E24=1),'Model inputs'!E24=1,IF('Model inputs'!E24="","",'Model inputs'!E24=1))),IF('Model inputs'!AB65="","",'Model inputs'!AB65),IF('Base and upside comparison'!C12="","",'Base and upside comparison'!C12))="",0,IF(IF(IF(ISERROR('Model inputs'!E24=1),'Model inputs'!E24=1,IF('Model inputs'!E24="","",'Model inputs'!E24=1))="",FALSE,IF(ISERROR('Model inputs'!E24=1),'Model inputs'!E24=1,IF('Model inputs'!E24="","",'Model inputs'!E24=1))),IF('Model inputs'!AB65="","",'Model inputs'!AB65),IF('Base and upside comparison'!C12="","",'Base and upside comparison'!C12)))+'Model inputs'!E43</f>
        <v>570.0000000000002</v>
      </c>
      <c r="F12" s="9">
        <f>IF(IF(IF(IF(ISERROR('Model inputs'!F23=1),'Model inputs'!F23=1,IF('Model inputs'!F23="","",'Model inputs'!F23=1))="",FALSE,IF(ISERROR('Model inputs'!F23=1),'Model inputs'!F23=1,IF('Model inputs'!F23="","",'Model inputs'!F23=1))),IF('Model inputs'!AB64="","",'Model inputs'!AB64),IF('Base and upside comparison'!D12="","",'Base and upside comparison'!D12))="",0,IF(IF(IF(ISERROR('Model inputs'!F23=1),'Model inputs'!F23=1,IF('Model inputs'!F23="","",'Model inputs'!F23=1))="",FALSE,IF(ISERROR('Model inputs'!F23=1),'Model inputs'!F23=1,IF('Model inputs'!F23="","",'Model inputs'!F23=1))),IF('Model inputs'!AB64="","",'Model inputs'!AB64),IF('Base and upside comparison'!D12="","",'Base and upside comparison'!D12)))+'Model inputs'!F42</f>
        <v>36.00000000000017</v>
      </c>
      <c r="G12" s="9">
        <f>IF(IF(IF(IF(ISERROR('Model inputs'!F24=1),'Model inputs'!F24=1,IF('Model inputs'!F24="","",'Model inputs'!F24=1))="",FALSE,IF(ISERROR('Model inputs'!F24=1),'Model inputs'!F24=1,IF('Model inputs'!F24="","",'Model inputs'!F24=1))),IF('Model inputs'!AB65="","",'Model inputs'!AB65),IF('Base and upside comparison'!E12="","",'Base and upside comparison'!E12))="",0,IF(IF(IF(ISERROR('Model inputs'!F24=1),'Model inputs'!F24=1,IF('Model inputs'!F24="","",'Model inputs'!F24=1))="",FALSE,IF(ISERROR('Model inputs'!F24=1),'Model inputs'!F24=1,IF('Model inputs'!F24="","",'Model inputs'!F24=1))),IF('Model inputs'!AB65="","",'Model inputs'!AB65),IF('Base and upside comparison'!E12="","",'Base and upside comparison'!E12)))+'Model inputs'!F43</f>
        <v>1440.0000000000002</v>
      </c>
      <c r="H12" s="9">
        <f>IF(IF(IF(IF(ISERROR('Model inputs'!G23=1),'Model inputs'!G23=1,IF('Model inputs'!G23="","",'Model inputs'!G23=1))="",FALSE,IF(ISERROR('Model inputs'!G23=1),'Model inputs'!G23=1,IF('Model inputs'!G23="","",'Model inputs'!G23=1))),IF('Model inputs'!AB64="","",'Model inputs'!AB64),IF('Base and upside comparison'!F12="","",'Base and upside comparison'!F12))="",0,IF(IF(IF(ISERROR('Model inputs'!G23=1),'Model inputs'!G23=1,IF('Model inputs'!G23="","",'Model inputs'!G23=1))="",FALSE,IF(ISERROR('Model inputs'!G23=1),'Model inputs'!G23=1,IF('Model inputs'!G23="","",'Model inputs'!G23=1))),IF('Model inputs'!AB64="","",'Model inputs'!AB64),IF('Base and upside comparison'!F12="","",'Base and upside comparison'!F12)))+'Model inputs'!G42</f>
        <v>260.16000000000025</v>
      </c>
      <c r="I12" s="9">
        <f>IF(IF(IF(IF(ISERROR('Model inputs'!G24=1),'Model inputs'!G24=1,IF('Model inputs'!G24="","",'Model inputs'!G24=1))="",FALSE,IF(ISERROR('Model inputs'!G24=1),'Model inputs'!G24=1,IF('Model inputs'!G24="","",'Model inputs'!G24=1))),IF('Model inputs'!AB65="","",'Model inputs'!AB65),IF('Base and upside comparison'!G12="","",'Base and upside comparison'!G12))="",0,IF(IF(IF(ISERROR('Model inputs'!G24=1),'Model inputs'!G24=1,IF('Model inputs'!G24="","",'Model inputs'!G24=1))="",FALSE,IF(ISERROR('Model inputs'!G24=1),'Model inputs'!G24=1,IF('Model inputs'!G24="","",'Model inputs'!G24=1))),IF('Model inputs'!AB65="","",'Model inputs'!AB65),IF('Base and upside comparison'!G12="","",'Base and upside comparison'!G12)))+'Model inputs'!G43</f>
        <v>2567.4000000000005</v>
      </c>
      <c r="J12" s="9">
        <f>IF(IF(IF(IF(ISERROR('Model inputs'!H23=1),'Model inputs'!H23=1,IF('Model inputs'!H23="","",'Model inputs'!H23=1))="",FALSE,IF(ISERROR('Model inputs'!H23=1),'Model inputs'!H23=1,IF('Model inputs'!H23="","",'Model inputs'!H23=1))),IF('Model inputs'!AB64="","",'Model inputs'!AB64),IF('Base and upside comparison'!H12="","",'Base and upside comparison'!H12))="",0,IF(IF(IF(ISERROR('Model inputs'!H23=1),'Model inputs'!H23=1,IF('Model inputs'!H23="","",'Model inputs'!H23=1))="",FALSE,IF(ISERROR('Model inputs'!H23=1),'Model inputs'!H23=1,IF('Model inputs'!H23="","",'Model inputs'!H23=1))),IF('Model inputs'!AB64="","",'Model inputs'!AB64),IF('Base and upside comparison'!H12="","",'Base and upside comparison'!H12)))+'Model inputs'!H42</f>
        <v>547.2192000000002</v>
      </c>
      <c r="K12" s="9">
        <f>IF(IF(IF(IF(ISERROR('Model inputs'!H24=1),'Model inputs'!H24=1,IF('Model inputs'!H24="","",'Model inputs'!H24=1))="",FALSE,IF(ISERROR('Model inputs'!H24=1),'Model inputs'!H24=1,IF('Model inputs'!H24="","",'Model inputs'!H24=1))),IF('Model inputs'!AB65="","",'Model inputs'!AB65),IF('Base and upside comparison'!I12="","",'Base and upside comparison'!I12))="",0,IF(IF(IF(ISERROR('Model inputs'!H24=1),'Model inputs'!H24=1,IF('Model inputs'!H24="","",'Model inputs'!H24=1))="",FALSE,IF(ISERROR('Model inputs'!H24=1),'Model inputs'!H24=1,IF('Model inputs'!H24="","",'Model inputs'!H24=1))),IF('Model inputs'!AB65="","",'Model inputs'!AB65),IF('Base and upside comparison'!I12="","",'Base and upside comparison'!I12)))+'Model inputs'!H43</f>
        <v>4008.8280000000004</v>
      </c>
      <c r="L12" s="9">
        <f>IF(IF(IF(IF(ISERROR('Model inputs'!I23=1),'Model inputs'!I23=1,IF('Model inputs'!I23="","",'Model inputs'!I23=1))="",FALSE,IF(ISERROR('Model inputs'!I23=1),'Model inputs'!I23=1,IF('Model inputs'!I23="","",'Model inputs'!I23=1))),IF('Model inputs'!AB64="","",'Model inputs'!AB64),IF('Base and upside comparison'!J12="","",'Base and upside comparison'!J12))="",0,IF(IF(IF(ISERROR('Model inputs'!I23=1),'Model inputs'!I23=1,IF('Model inputs'!I23="","",'Model inputs'!I23=1))="",FALSE,IF(ISERROR('Model inputs'!I23=1),'Model inputs'!I23=1,IF('Model inputs'!I23="","",'Model inputs'!I23=1))),IF('Model inputs'!AB64="","",'Model inputs'!AB64),IF('Base and upside comparison'!J12="","",'Base and upside comparison'!J12)))+'Model inputs'!I42</f>
        <v>904.7255040000003</v>
      </c>
      <c r="M12" s="9">
        <f>IF(IF(IF(IF(ISERROR('Model inputs'!I24=1),'Model inputs'!I24=1,IF('Model inputs'!I24="","",'Model inputs'!I24=1))="",FALSE,IF(ISERROR('Model inputs'!I24=1),'Model inputs'!I24=1,IF('Model inputs'!I24="","",'Model inputs'!I24=1))),IF('Model inputs'!AB65="","",'Model inputs'!AB65),IF('Base and upside comparison'!K12="","",'Base and upside comparison'!K12))="",0,IF(IF(IF(ISERROR('Model inputs'!I24=1),'Model inputs'!I24=1,IF('Model inputs'!I24="","",'Model inputs'!I24=1))="",FALSE,IF(ISERROR('Model inputs'!I24=1),'Model inputs'!I24=1,IF('Model inputs'!I24="","",'Model inputs'!I24=1))),IF('Model inputs'!AB65="","",'Model inputs'!AB65),IF('Base and upside comparison'!K12="","",'Base and upside comparison'!K12)))+'Model inputs'!I43</f>
        <v>5833.37016</v>
      </c>
      <c r="N12" s="9">
        <f>IF(IF(IF(IF(ISERROR('Model inputs'!J23=1),'Model inputs'!J23=1,IF('Model inputs'!J23="","",'Model inputs'!J23=1))="",FALSE,IF(ISERROR('Model inputs'!J23=1),'Model inputs'!J23=1,IF('Model inputs'!J23="","",'Model inputs'!J23=1))),IF('Model inputs'!AB64="","",'Model inputs'!AB64),IF('Base and upside comparison'!L12="","",'Base and upside comparison'!L12))="",0,IF(IF(IF(ISERROR('Model inputs'!J23=1),'Model inputs'!J23=1,IF('Model inputs'!J23="","",'Model inputs'!J23=1))="",FALSE,IF(ISERROR('Model inputs'!J23=1),'Model inputs'!J23=1,IF('Model inputs'!J23="","",'Model inputs'!J23=1))),IF('Model inputs'!AB64="","",'Model inputs'!AB64),IF('Base and upside comparison'!L12="","",'Base and upside comparison'!L12)))+'Model inputs'!J42</f>
        <v>1341.1325644800004</v>
      </c>
      <c r="O12" s="9">
        <f>IF(IF(IF(IF(ISERROR('Model inputs'!J24=1),'Model inputs'!J24=1,IF('Model inputs'!J24="","",'Model inputs'!J24=1))="",FALSE,IF(ISERROR('Model inputs'!J24=1),'Model inputs'!J24=1,IF('Model inputs'!J24="","",'Model inputs'!J24=1))),IF('Model inputs'!AB65="","",'Model inputs'!AB65),IF('Base and upside comparison'!M12="","",'Base and upside comparison'!M12))="",0,IF(IF(IF(ISERROR('Model inputs'!J24=1),'Model inputs'!J24=1,IF('Model inputs'!J24="","",'Model inputs'!J24=1))="",FALSE,IF(ISERROR('Model inputs'!J24=1),'Model inputs'!J24=1,IF('Model inputs'!J24="","",'Model inputs'!J24=1))),IF('Model inputs'!AB65="","",'Model inputs'!AB65),IF('Base and upside comparison'!M12="","",'Base and upside comparison'!M12)))+'Model inputs'!J43</f>
        <v>8125.311595200001</v>
      </c>
      <c r="P12" s="9">
        <f>IF(IF(IF(IF(ISERROR('Model inputs'!K23=1),'Model inputs'!K23=1,IF('Model inputs'!K23="","",'Model inputs'!K23=1))="",FALSE,IF(ISERROR('Model inputs'!K23=1),'Model inputs'!K23=1,IF('Model inputs'!K23="","",'Model inputs'!K23=1))),IF('Model inputs'!AB64="","",'Model inputs'!AB64),IF('Base and upside comparison'!N12="","",'Base and upside comparison'!N12))="",0,IF(IF(IF(ISERROR('Model inputs'!K23=1),'Model inputs'!K23=1,IF('Model inputs'!K23="","",'Model inputs'!K23=1))="",FALSE,IF(ISERROR('Model inputs'!K23=1),'Model inputs'!K23=1,IF('Model inputs'!K23="","",'Model inputs'!K23=1))),IF('Model inputs'!AB64="","",'Model inputs'!AB64),IF('Base and upside comparison'!N12="","",'Base and upside comparison'!N12)))+'Model inputs'!K42</f>
        <v>1865.9084722176003</v>
      </c>
      <c r="Q12" s="9">
        <f>IF(IF(IF(IF(ISERROR('Model inputs'!K24=1),'Model inputs'!K24=1,IF('Model inputs'!K24="","",'Model inputs'!K24=1))="",FALSE,IF(ISERROR('Model inputs'!K24=1),'Model inputs'!K24=1,IF('Model inputs'!K24="","",'Model inputs'!K24=1))),IF('Model inputs'!AB65="","",'Model inputs'!AB65),IF('Base and upside comparison'!O12="","",'Base and upside comparison'!O12))="",0,IF(IF(IF(ISERROR('Model inputs'!K24=1),'Model inputs'!K24=1,IF('Model inputs'!K24="","",'Model inputs'!K24=1))="",FALSE,IF(ISERROR('Model inputs'!K24=1),'Model inputs'!K24=1,IF('Model inputs'!K24="","",'Model inputs'!K24=1))),IF('Model inputs'!AB65="","",'Model inputs'!AB65),IF('Base and upside comparison'!O12="","",'Base and upside comparison'!O12)))+'Model inputs'!K43</f>
        <v>10987.480146144</v>
      </c>
      <c r="R12" s="9">
        <f>IF(IF(IF(IF(ISERROR('Model inputs'!L23=1),'Model inputs'!L23=1,IF('Model inputs'!L23="","",'Model inputs'!L23=1))="",FALSE,IF(ISERROR('Model inputs'!L23=1),'Model inputs'!L23=1,IF('Model inputs'!L23="","",'Model inputs'!L23=1))),IF('Model inputs'!AB64="","",'Model inputs'!AB64),IF('Base and upside comparison'!P12="","",'Base and upside comparison'!P12))="",0,IF(IF(IF(ISERROR('Model inputs'!L23=1),'Model inputs'!L23=1,IF('Model inputs'!L23="","",'Model inputs'!L23=1))="",FALSE,IF(ISERROR('Model inputs'!L23=1),'Model inputs'!L23=1,IF('Model inputs'!L23="","",'Model inputs'!L23=1))),IF('Model inputs'!AB64="","",'Model inputs'!AB64),IF('Base and upside comparison'!P12="","",'Base and upside comparison'!P12)))+'Model inputs'!L42</f>
        <v>2489.657488883712</v>
      </c>
      <c r="S12" s="9">
        <f>IF(IF(IF(IF(ISERROR('Model inputs'!L24=1),'Model inputs'!L24=1,IF('Model inputs'!L24="","",'Model inputs'!L24=1))="",FALSE,IF(ISERROR('Model inputs'!L24=1),'Model inputs'!L24=1,IF('Model inputs'!L24="","",'Model inputs'!L24=1))),IF('Model inputs'!AB65="","",'Model inputs'!AB65),IF('Base and upside comparison'!Q12="","",'Base and upside comparison'!Q12))="",0,IF(IF(IF(ISERROR('Model inputs'!L24=1),'Model inputs'!L24=1,IF('Model inputs'!L24="","",'Model inputs'!L24=1))="",FALSE,IF(ISERROR('Model inputs'!L24=1),'Model inputs'!L24=1,IF('Model inputs'!L24="","",'Model inputs'!L24=1))),IF('Model inputs'!AB65="","",'Model inputs'!AB65),IF('Base and upside comparison'!Q12="","",'Base and upside comparison'!Q12)))+'Model inputs'!L43</f>
        <v>14545.32577829568</v>
      </c>
      <c r="T12" s="9">
        <f>IF(IF(IF(IF(ISERROR('Model inputs'!M23=1),'Model inputs'!M23=1,IF('Model inputs'!M23="","",'Model inputs'!M23=1))="",FALSE,IF(ISERROR('Model inputs'!M23=1),'Model inputs'!M23=1,IF('Model inputs'!M23="","",'Model inputs'!M23=1))),IF('Model inputs'!AB64="","",'Model inputs'!AB64),IF('Base and upside comparison'!R12="","",'Base and upside comparison'!R12))="",0,IF(IF(IF(ISERROR('Model inputs'!M23=1),'Model inputs'!M23=1,IF('Model inputs'!M23="","",'Model inputs'!M23=1))="",FALSE,IF(ISERROR('Model inputs'!M23=1),'Model inputs'!M23=1,IF('Model inputs'!M23="","",'Model inputs'!M23=1))),IF('Model inputs'!AB64="","",'Model inputs'!AB64),IF('Base and upside comparison'!R12="","",'Base and upside comparison'!R12)))+'Model inputs'!M42</f>
        <v>3224.2563875497576</v>
      </c>
      <c r="U12" s="9">
        <f>IF(IF(IF(IF(ISERROR('Model inputs'!M24=1),'Model inputs'!M24=1,IF('Model inputs'!M24="","",'Model inputs'!M24=1))="",FALSE,IF(ISERROR('Model inputs'!M24=1),'Model inputs'!M24=1,IF('Model inputs'!M24="","",'Model inputs'!M24=1))),IF('Model inputs'!AB65="","",'Model inputs'!AB65),IF('Base and upside comparison'!S12="","",'Base and upside comparison'!S12))="",0,IF(IF(IF(ISERROR('Model inputs'!M24=1),'Model inputs'!M24=1,IF('Model inputs'!M24="","",'Model inputs'!M24=1))="",FALSE,IF(ISERROR('Model inputs'!M24=1),'Model inputs'!M24=1,IF('Model inputs'!M24="","",'Model inputs'!M24=1))),IF('Model inputs'!AB65="","",'Model inputs'!AB65),IF('Base and upside comparison'!S12="","",'Base and upside comparison'!S12)))+'Model inputs'!M43</f>
        <v>18951.89744952073</v>
      </c>
      <c r="V12" s="9">
        <f>IF(IF(IF(IF(ISERROR('Model inputs'!N23=1),'Model inputs'!N23=1,IF('Model inputs'!N23="","",'Model inputs'!N23=1))="",FALSE,IF(ISERROR('Model inputs'!N23=1),'Model inputs'!N23=1,IF('Model inputs'!N23="","",'Model inputs'!N23=1))),IF('Model inputs'!AB64="","",'Model inputs'!AB64),IF('Base and upside comparison'!T12="","",'Base and upside comparison'!T12))="",0,IF(IF(IF(ISERROR('Model inputs'!N23=1),'Model inputs'!N23=1,IF('Model inputs'!N23="","",'Model inputs'!N23=1))="",FALSE,IF(ISERROR('Model inputs'!N23=1),'Model inputs'!N23=1,IF('Model inputs'!N23="","",'Model inputs'!N23=1))),IF('Model inputs'!AB64="","",'Model inputs'!AB64),IF('Base and upside comparison'!T12="","",'Base and upside comparison'!T12)))+'Model inputs'!N42</f>
        <v>4083.0071540557283</v>
      </c>
      <c r="W12" s="9">
        <f>IF(IF(IF(IF(ISERROR('Model inputs'!N24=1),'Model inputs'!N24=1,IF('Model inputs'!N24="","",'Model inputs'!N24=1))="",FALSE,IF(ISERROR('Model inputs'!N24=1),'Model inputs'!N24=1,IF('Model inputs'!N24="","",'Model inputs'!N24=1))),IF('Model inputs'!AB65="","",'Model inputs'!AB65),IF('Base and upside comparison'!U12="","",'Base and upside comparison'!U12))="",0,IF(IF(IF(ISERROR('Model inputs'!N24=1),'Model inputs'!N24=1,IF('Model inputs'!N24="","",'Model inputs'!N24=1))="",FALSE,IF(ISERROR('Model inputs'!N24=1),'Model inputs'!N24=1,IF('Model inputs'!N24="","",'Model inputs'!N24=1))),IF('Model inputs'!AB65="","",'Model inputs'!AB65),IF('Base and upside comparison'!U12="","",'Base and upside comparison'!U12)))+'Model inputs'!N43</f>
        <v>24393.91488841529</v>
      </c>
      <c r="X12" s="9">
        <f>IF(IF(IF(IF(ISERROR('Model inputs'!O23=1),'Model inputs'!O23=1,IF('Model inputs'!O23="","",'Model inputs'!O23=1))="",FALSE,IF(ISERROR('Model inputs'!O23=1),'Model inputs'!O23=1,IF('Model inputs'!O23="","",'Model inputs'!O23=1))),IF('Model inputs'!AB64="","",'Model inputs'!AB64),IF('Base and upside comparison'!V12="","",'Base and upside comparison'!V12))="",0,IF(IF(IF(ISERROR('Model inputs'!O23=1),'Model inputs'!O23=1,IF('Model inputs'!O23="","",'Model inputs'!O23=1))="",FALSE,IF(ISERROR('Model inputs'!O23=1),'Model inputs'!O23=1,IF('Model inputs'!O23="","",'Model inputs'!O23=1))),IF('Model inputs'!AB64="","",'Model inputs'!AB64),IF('Base and upside comparison'!V12="","",'Base and upside comparison'!V12)))+'Model inputs'!O42</f>
        <v>5080.808012542416</v>
      </c>
      <c r="Y12" s="9">
        <f>IF(IF(IF(IF(ISERROR('Model inputs'!O24=1),'Model inputs'!O24=1,IF('Model inputs'!O24="","",'Model inputs'!O24=1))="",FALSE,IF(ISERROR('Model inputs'!O24=1),'Model inputs'!O24=1,IF('Model inputs'!O24="","",'Model inputs'!O24=1))),IF('Model inputs'!AB65="","",'Model inputs'!AB65),IF('Base and upside comparison'!W12="","",'Base and upside comparison'!W12))="",0,IF(IF(IF(ISERROR('Model inputs'!O24=1),'Model inputs'!O24=1,IF('Model inputs'!O24="","",'Model inputs'!O24=1))="",FALSE,IF(ISERROR('Model inputs'!O24=1),'Model inputs'!O24=1,IF('Model inputs'!O24="","",'Model inputs'!O24=1))),IF('Model inputs'!AB65="","",'Model inputs'!AB65),IF('Base and upside comparison'!W12="","",'Base and upside comparison'!W12)))+'Model inputs'!O43</f>
        <v>31099.176163866654</v>
      </c>
      <c r="Z12" s="9">
        <f>IF(IF(IF(IF(ISERROR('Model inputs'!P23=1),'Model inputs'!P23=1,IF('Model inputs'!P23="","",'Model inputs'!P23=1))="",FALSE,IF(ISERROR('Model inputs'!P23=1),'Model inputs'!P23=1,IF('Model inputs'!P23="","",'Model inputs'!P23=1))),IF('Model inputs'!AB64="","",'Model inputs'!AB64),IF('Base and upside comparison'!X12="","",'Base and upside comparison'!X12))="",0,IF(IF(IF(ISERROR('Model inputs'!P23=1),'Model inputs'!P23=1,IF('Model inputs'!P23="","",'Model inputs'!P23=1))="",FALSE,IF(ISERROR('Model inputs'!P23=1),'Model inputs'!P23=1,IF('Model inputs'!P23="","",'Model inputs'!P23=1))),IF('Model inputs'!AB64="","",'Model inputs'!AB64),IF('Base and upside comparison'!X12="","",'Base and upside comparison'!X12)))+'Model inputs'!P42</f>
        <v>6234.344974047505</v>
      </c>
      <c r="AA12" s="9">
        <f>IF(IF(IF(IF(ISERROR('Model inputs'!P24=1),'Model inputs'!P24=1,IF('Model inputs'!P24="","",'Model inputs'!P24=1))="",FALSE,IF(ISERROR('Model inputs'!P24=1),'Model inputs'!P24=1,IF('Model inputs'!P24="","",'Model inputs'!P24=1))),IF('Model inputs'!AB65="","",'Model inputs'!AB65),IF('Base and upside comparison'!Y12="","",'Base and upside comparison'!Y12))="",0,IF(IF(IF(ISERROR('Model inputs'!P24=1),'Model inputs'!P24=1,IF('Model inputs'!P24="","",'Model inputs'!P24=1))="",FALSE,IF(ISERROR('Model inputs'!P24=1),'Model inputs'!P24=1,IF('Model inputs'!P24="","",'Model inputs'!P24=1))),IF('Model inputs'!AB65="","",'Model inputs'!AB65),IF('Base and upside comparison'!Y12="","",'Base and upside comparison'!Y12)))+'Model inputs'!P43</f>
        <v>39345.59491991732</v>
      </c>
      <c r="AB12" s="9">
        <f>IF(IF(IF(IF(ISERROR('Model inputs'!Q23=1),'Model inputs'!Q23=1,IF('Model inputs'!Q23="","",'Model inputs'!Q23=1))="",FALSE,IF(ISERROR('Model inputs'!Q23=1),'Model inputs'!Q23=1,IF('Model inputs'!Q23="","",'Model inputs'!Q23=1))),IF('Model inputs'!AB64="","",'Model inputs'!AB64),IF('Base and upside comparison'!Z12="","",'Base and upside comparison'!Z12))="",0,IF(IF(IF(ISERROR('Model inputs'!Q23=1),'Model inputs'!Q23=1,IF('Model inputs'!Q23="","",'Model inputs'!Q23=1))="",FALSE,IF(ISERROR('Model inputs'!Q23=1),'Model inputs'!Q23=1,IF('Model inputs'!Q23="","",'Model inputs'!Q23=1))),IF('Model inputs'!AB64="","",'Model inputs'!AB64),IF('Base and upside comparison'!Z12="","",'Base and upside comparison'!Z12)))+'Model inputs'!Q42</f>
        <v>7562.3063709332055</v>
      </c>
      <c r="AC12" s="9">
        <f>IF(IF(IF(IF(ISERROR('Model inputs'!Q24=1),'Model inputs'!Q24=1,IF('Model inputs'!Q24="","",'Model inputs'!Q24=1))="",FALSE,IF(ISERROR('Model inputs'!Q24=1),'Model inputs'!Q24=1,IF('Model inputs'!Q24="","",'Model inputs'!Q24=1))),IF('Model inputs'!AB65="","",'Model inputs'!AB65),IF('Base and upside comparison'!AA12="","",'Base and upside comparison'!AA12))="",0,IF(IF(IF(ISERROR('Model inputs'!Q24=1),'Model inputs'!Q24=1,IF('Model inputs'!Q24="","",'Model inputs'!Q24=1))="",FALSE,IF(ISERROR('Model inputs'!Q24=1),'Model inputs'!Q24=1,IF('Model inputs'!Q24="","",'Model inputs'!Q24=1))),IF('Model inputs'!AB65="","",'Model inputs'!AB65),IF('Base and upside comparison'!AA12="","",'Base and upside comparison'!AA12)))+'Model inputs'!Q43</f>
        <v>49472.22580229913</v>
      </c>
      <c r="AD12" s="9">
        <f>IF(IF(IF(IF(ISERROR('Model inputs'!R23=1),'Model inputs'!R23=1,IF('Model inputs'!R23="","",'Model inputs'!R23=1))="",FALSE,IF(ISERROR('Model inputs'!R23=1),'Model inputs'!R23=1,IF('Model inputs'!R23="","",'Model inputs'!R23=1))),IF('Model inputs'!AB64="","",'Model inputs'!AB64),IF('Base and upside comparison'!AB12="","",'Base and upside comparison'!AB12))="",0,IF(IF(IF(ISERROR('Model inputs'!R23=1),'Model inputs'!R23=1,IF('Model inputs'!R23="","",'Model inputs'!R23=1))="",FALSE,IF(ISERROR('Model inputs'!R23=1),'Model inputs'!R23=1,IF('Model inputs'!R23="","",'Model inputs'!R23=1))),IF('Model inputs'!AB64="","",'Model inputs'!AB64),IF('Base and upside comparison'!AB12="","",'Base and upside comparison'!AB12)))+'Model inputs'!R42</f>
        <v>9085.62313544519</v>
      </c>
      <c r="AE12" s="9">
        <f>IF(IF(IF(IF(ISERROR('Model inputs'!R24=1),'Model inputs'!R24=1,IF('Model inputs'!R24="","",'Model inputs'!R24=1))="",FALSE,IF(ISERROR('Model inputs'!R24=1),'Model inputs'!R24=1,IF('Model inputs'!R24="","",'Model inputs'!R24=1))),IF('Model inputs'!AB65="","",'Model inputs'!AB65),IF('Base and upside comparison'!AC12="","",'Base and upside comparison'!AC12))="",0,IF(IF(IF(ISERROR('Model inputs'!R24=1),'Model inputs'!R24=1,IF('Model inputs'!R24="","",'Model inputs'!R24=1))="",FALSE,IF(ISERROR('Model inputs'!R24=1),'Model inputs'!R24=1,IF('Model inputs'!R24="","",'Model inputs'!R24=1))),IF('Model inputs'!AB65="","",'Model inputs'!AB65),IF('Base and upside comparison'!AC12="","",'Base and upside comparison'!AC12)))+'Model inputs'!R43</f>
        <v>61892.71547880494</v>
      </c>
      <c r="AF12" s="9">
        <f>IF(IF(IF(IF(ISERROR('Model inputs'!S23=1),'Model inputs'!S23=1,IF('Model inputs'!S23="","",'Model inputs'!S23=1))="",FALSE,IF(ISERROR('Model inputs'!S23=1),'Model inputs'!S23=1,IF('Model inputs'!S23="","",'Model inputs'!S23=1))),IF('Model inputs'!AB64="","",'Model inputs'!AB64),IF('Base and upside comparison'!AD12="","",'Base and upside comparison'!AD12))="",0,IF(IF(IF(ISERROR('Model inputs'!S23=1),'Model inputs'!S23=1,IF('Model inputs'!S23="","",'Model inputs'!S23=1))="",FALSE,IF(ISERROR('Model inputs'!S23=1),'Model inputs'!S23=1,IF('Model inputs'!S23="","",'Model inputs'!S23=1))),IF('Model inputs'!AB64="","",'Model inputs'!AB64),IF('Base and upside comparison'!AD12="","",'Base and upside comparison'!AD12)))+'Model inputs'!S42</f>
        <v>10827.737911698612</v>
      </c>
      <c r="AG12" s="9">
        <f>IF(IF(IF(IF(ISERROR('Model inputs'!S24=1),'Model inputs'!S24=1,IF('Model inputs'!S24="","",'Model inputs'!S24=1))="",FALSE,IF(ISERROR('Model inputs'!S24=1),'Model inputs'!S24=1,IF('Model inputs'!S24="","",'Model inputs'!S24=1))),IF('Model inputs'!AB65="","",'Model inputs'!AB65),IF('Base and upside comparison'!AE12="","",'Base and upside comparison'!AE12))="",0,IF(IF(IF(ISERROR('Model inputs'!S24=1),'Model inputs'!S24=1,IF('Model inputs'!S24="","",'Model inputs'!S24=1))="",FALSE,IF(ISERROR('Model inputs'!S24=1),'Model inputs'!S24=1,IF('Model inputs'!S24="","",'Model inputs'!S24=1))),IF('Model inputs'!AB65="","",'Model inputs'!AB65),IF('Base and upside comparison'!AE12="","",'Base and upside comparison'!AE12)))+'Model inputs'!S43</f>
        <v>77111.71288414203</v>
      </c>
      <c r="AH12" s="9">
        <f>IF(IF(IF(IF(ISERROR('Model inputs'!T23=1),'Model inputs'!T23=1,IF('Model inputs'!T23="","",'Model inputs'!T23=1))="",FALSE,IF(ISERROR('Model inputs'!T23=1),'Model inputs'!T23=1,IF('Model inputs'!T23="","",'Model inputs'!T23=1))),IF('Model inputs'!AB64="","",'Model inputs'!AB64),IF('Base and upside comparison'!AF12="","",'Base and upside comparison'!AF12))="",0,IF(IF(IF(ISERROR('Model inputs'!T23=1),'Model inputs'!T23=1,IF('Model inputs'!T23="","",'Model inputs'!T23=1))="",FALSE,IF(ISERROR('Model inputs'!T23=1),'Model inputs'!T23=1,IF('Model inputs'!T23="","",'Model inputs'!T23=1))),IF('Model inputs'!AB64="","",'Model inputs'!AB64),IF('Base and upside comparison'!AF12="","",'Base and upside comparison'!AF12)))+'Model inputs'!T42</f>
        <v>12814.906461102446</v>
      </c>
      <c r="AI12" s="9">
        <f>IF(IF(IF(IF(ISERROR('Model inputs'!T24=1),'Model inputs'!T24=1,IF('Model inputs'!T24="","",'Model inputs'!T24=1))="",FALSE,IF(ISERROR('Model inputs'!T24=1),'Model inputs'!T24=1,IF('Model inputs'!T24="","",'Model inputs'!T24=1))),IF('Model inputs'!AB65="","",'Model inputs'!AB65),IF('Base and upside comparison'!AG12="","",'Base and upside comparison'!AG12))="",0,IF(IF(IF(ISERROR('Model inputs'!T24=1),'Model inputs'!T24=1,IF('Model inputs'!T24="","",'Model inputs'!T24=1))="",FALSE,IF(ISERROR('Model inputs'!T24=1),'Model inputs'!T24=1,IF('Model inputs'!T24="","",'Model inputs'!T24=1))),IF('Model inputs'!AB65="","",'Model inputs'!AB65),IF('Base and upside comparison'!AG12="","",'Base and upside comparison'!AG12)))+'Model inputs'!T43</f>
        <v>95744.88971865328</v>
      </c>
      <c r="AJ12" s="9">
        <f>IF(IF(IF(IF(ISERROR('Model inputs'!U23=1),'Model inputs'!U23=1,IF('Model inputs'!U23="","",'Model inputs'!U23=1))="",FALSE,IF(ISERROR('Model inputs'!U23=1),'Model inputs'!U23=1,IF('Model inputs'!U23="","",'Model inputs'!U23=1))),IF('Model inputs'!AB64="","",'Model inputs'!AB64),IF('Base and upside comparison'!AH12="","",'Base and upside comparison'!AH12))="",0,IF(IF(IF(ISERROR('Model inputs'!U23=1),'Model inputs'!U23=1,IF('Model inputs'!U23="","",'Model inputs'!U23=1))="",FALSE,IF(ISERROR('Model inputs'!U23=1),'Model inputs'!U23=1,IF('Model inputs'!U23="","",'Model inputs'!U23=1))),IF('Model inputs'!AB64="","",'Model inputs'!AB64),IF('Base and upside comparison'!AH12="","",'Base and upside comparison'!AH12)))+'Model inputs'!U42</f>
        <v>15076.535236434738</v>
      </c>
      <c r="AK12" s="9">
        <f>IF(IF(IF(IF(ISERROR('Model inputs'!U24=1),'Model inputs'!U24=1,IF('Model inputs'!U24="","",'Model inputs'!U24=1))="",FALSE,IF(ISERROR('Model inputs'!U24=1),'Model inputs'!U24=1,IF('Model inputs'!U24="","",'Model inputs'!U24=1))),IF('Model inputs'!AB65="","",'Model inputs'!AB65),IF('Base and upside comparison'!AI12="","",'Base and upside comparison'!AI12))="",0,IF(IF(IF(ISERROR('Model inputs'!U24=1),'Model inputs'!U24=1,IF('Model inputs'!U24="","",'Model inputs'!U24=1))="",FALSE,IF(ISERROR('Model inputs'!U24=1),'Model inputs'!U24=1,IF('Model inputs'!U24="","",'Model inputs'!U24=1))),IF('Model inputs'!AB65="","",'Model inputs'!AB65),IF('Base and upside comparison'!AI12="","",'Base and upside comparison'!AI12)))+'Model inputs'!U43</f>
        <v>118543.36545675702</v>
      </c>
      <c r="AL12" s="9">
        <f>IF(IF(IF(IF(ISERROR('Model inputs'!V23=1),'Model inputs'!V23=1,IF('Model inputs'!V23="","",'Model inputs'!V23=1))="",FALSE,IF(ISERROR('Model inputs'!V23=1),'Model inputs'!V23=1,IF('Model inputs'!V23="","",'Model inputs'!V23=1))),IF('Model inputs'!AB64="","",'Model inputs'!AB64),IF('Base and upside comparison'!AJ12="","",'Base and upside comparison'!AJ12))="",0,IF(IF(IF(ISERROR('Model inputs'!V23=1),'Model inputs'!V23=1,IF('Model inputs'!V23="","",'Model inputs'!V23=1))="",FALSE,IF(ISERROR('Model inputs'!V23=1),'Model inputs'!V23=1,IF('Model inputs'!V23="","",'Model inputs'!V23=1))),IF('Model inputs'!AB64="","",'Model inputs'!AB64),IF('Base and upside comparison'!AJ12="","",'Base and upside comparison'!AJ12)))+'Model inputs'!V42</f>
        <v>17645.559464806905</v>
      </c>
      <c r="AM12" s="9">
        <f>IF(IF(IF(IF(ISERROR('Model inputs'!V24=1),'Model inputs'!V24=1,IF('Model inputs'!V24="","",'Model inputs'!V24=1))="",FALSE,IF(ISERROR('Model inputs'!V24=1),'Model inputs'!V24=1,IF('Model inputs'!V24="","",'Model inputs'!V24=1))),IF('Model inputs'!AB65="","",'Model inputs'!AB65),IF('Base and upside comparison'!AK12="","",'Base and upside comparison'!AK12))="",0,IF(IF(IF(ISERROR('Model inputs'!V24=1),'Model inputs'!V24=1,IF('Model inputs'!V24="","",'Model inputs'!V24=1))="",FALSE,IF(ISERROR('Model inputs'!V24=1),'Model inputs'!V24=1,IF('Model inputs'!V24="","",'Model inputs'!V24=1))),IF('Model inputs'!AB65="","",'Model inputs'!AB65),IF('Base and upside comparison'!AK12="","",'Base and upside comparison'!AK12)))+'Model inputs'!V43</f>
        <v>146423.50585724355</v>
      </c>
      <c r="AN12" s="9">
        <f>IF(IF(IF(IF(ISERROR('Model inputs'!W23=1),'Model inputs'!W23=1,IF('Model inputs'!W23="","",'Model inputs'!W23=1))="",FALSE,IF(ISERROR('Model inputs'!W23=1),'Model inputs'!W23=1,IF('Model inputs'!W23="","",'Model inputs'!W23=1))),IF('Model inputs'!AB64="","",'Model inputs'!AB64),IF('Base and upside comparison'!AL12="","",'Base and upside comparison'!AL12))="",0,IF(IF(IF(ISERROR('Model inputs'!W23=1),'Model inputs'!W23=1,IF('Model inputs'!W23="","",'Model inputs'!W23=1))="",FALSE,IF(ISERROR('Model inputs'!W23=1),'Model inputs'!W23=1,IF('Model inputs'!W23="","",'Model inputs'!W23=1))),IF('Model inputs'!AB64="","",'Model inputs'!AB64),IF('Base and upside comparison'!AL12="","",'Base and upside comparison'!AL12)))+'Model inputs'!W42</f>
        <v>20558.866600583733</v>
      </c>
      <c r="AO12" s="9">
        <f>IF(IF(IF(IF(ISERROR('Model inputs'!W24=1),'Model inputs'!W24=1,IF('Model inputs'!W24="","",'Model inputs'!W24=1))="",FALSE,IF(ISERROR('Model inputs'!W24=1),'Model inputs'!W24=1,IF('Model inputs'!W24="","",'Model inputs'!W24=1))),IF('Model inputs'!AB65="","",'Model inputs'!AB65),IF('Base and upside comparison'!AM12="","",'Base and upside comparison'!AM12))="",0,IF(IF(IF(ISERROR('Model inputs'!W24=1),'Model inputs'!W24=1,IF('Model inputs'!W24="","",'Model inputs'!W24=1))="",FALSE,IF(ISERROR('Model inputs'!W24=1),'Model inputs'!W24=1,IF('Model inputs'!W24="","",'Model inputs'!W24=1))),IF('Model inputs'!AB65="","",'Model inputs'!AB65),IF('Base and upside comparison'!AM12="","",'Base and upside comparison'!AM12)))+'Model inputs'!W43</f>
        <v>180503.27714583714</v>
      </c>
      <c r="AP12" s="9">
        <f>IF(IF(IF(IF(ISERROR('Model inputs'!X23=1),'Model inputs'!X23=1,IF('Model inputs'!X23="","",'Model inputs'!X23=1))="",FALSE,IF(ISERROR('Model inputs'!X23=1),'Model inputs'!X23=1,IF('Model inputs'!X23="","",'Model inputs'!X23=1))),IF('Model inputs'!AB64="","",'Model inputs'!AB64),IF('Base and upside comparison'!AN12="","",'Base and upside comparison'!AN12))="",0,IF(IF(IF(ISERROR('Model inputs'!X23=1),'Model inputs'!X23=1,IF('Model inputs'!X23="","",'Model inputs'!X23=1))="",FALSE,IF(ISERROR('Model inputs'!X23=1),'Model inputs'!X23=1,IF('Model inputs'!X23="","",'Model inputs'!X23=1))),IF('Model inputs'!AB64="","",'Model inputs'!AB64),IF('Base and upside comparison'!AN12="","",'Base and upside comparison'!AN12)))+'Model inputs'!X42</f>
        <v>23857.770592653782</v>
      </c>
      <c r="AQ12" s="9">
        <f>IF(IF(IF(IF(ISERROR('Model inputs'!X24=1),'Model inputs'!X24=1,IF('Model inputs'!X24="","",'Model inputs'!X24=1))="",FALSE,IF(ISERROR('Model inputs'!X24=1),'Model inputs'!X24=1,IF('Model inputs'!X24="","",'Model inputs'!X24=1))),IF('Model inputs'!AB65="","",'Model inputs'!AB65),IF('Base and upside comparison'!AO12="","",'Base and upside comparison'!AO12))="",0,IF(IF(IF(ISERROR('Model inputs'!X24=1),'Model inputs'!X24=1,IF('Model inputs'!X24="","",'Model inputs'!X24=1))="",FALSE,IF(ISERROR('Model inputs'!X24=1),'Model inputs'!X24=1,IF('Model inputs'!X24="","",'Model inputs'!X24=1))),IF('Model inputs'!AB65="","",'Model inputs'!AB65),IF('Base and upside comparison'!AO12="","",'Base and upside comparison'!AO12)))+'Model inputs'!X43</f>
        <v>222146.5981179213</v>
      </c>
      <c r="AR12" s="9">
        <f>IF(IF(IF(IF(ISERROR('Model inputs'!Y23=1),'Model inputs'!Y23=1,IF('Model inputs'!Y23="","",'Model inputs'!Y23=1))="",FALSE,IF(ISERROR('Model inputs'!Y23=1),'Model inputs'!Y23=1,IF('Model inputs'!Y23="","",'Model inputs'!Y23=1))),IF('Model inputs'!AB64="","",'Model inputs'!AB64),IF('Base and upside comparison'!AP12="","",'Base and upside comparison'!AP12))="",0,IF(IF(IF(ISERROR('Model inputs'!Y23=1),'Model inputs'!Y23=1,IF('Model inputs'!Y23="","",'Model inputs'!Y23=1))="",FALSE,IF(ISERROR('Model inputs'!Y23=1),'Model inputs'!Y23=1,IF('Model inputs'!Y23="","",'Model inputs'!Y23=1))),IF('Model inputs'!AB64="","",'Model inputs'!AB64),IF('Base and upside comparison'!AP12="","",'Base and upside comparison'!AP12)))+'Model inputs'!Y42</f>
        <v>27588.543063772235</v>
      </c>
      <c r="AS12" s="9">
        <f>IF(IF(IF(IF(ISERROR('Model inputs'!Y24=1),'Model inputs'!Y24=1,IF('Model inputs'!Y24="","",'Model inputs'!Y24=1))="",FALSE,IF(ISERROR('Model inputs'!Y24=1),'Model inputs'!Y24=1,IF('Model inputs'!Y24="","",'Model inputs'!Y24=1))),IF('Model inputs'!AB65="","",'Model inputs'!AB65),IF('Base and upside comparison'!AQ12="","",'Base and upside comparison'!AQ12))="",0,IF(IF(IF(ISERROR('Model inputs'!Y24=1),'Model inputs'!Y24=1,IF('Model inputs'!Y24="","",'Model inputs'!Y24=1))="",FALSE,IF(ISERROR('Model inputs'!Y24=1),'Model inputs'!Y24=1,IF('Model inputs'!Y24="","",'Model inputs'!Y24=1))),IF('Model inputs'!AB65="","",'Model inputs'!AB65),IF('Base and upside comparison'!AQ12="","",'Base and upside comparison'!AQ12)))+'Model inputs'!Y43</f>
        <v>273017.449703864</v>
      </c>
      <c r="AT12" s="9">
        <f>IF(IF(IF(IF(ISERROR('Model inputs'!Z23=1),'Model inputs'!Z23=1,IF('Model inputs'!Z23="","",'Model inputs'!Z23=1))="",FALSE,IF(ISERROR('Model inputs'!Z23=1),'Model inputs'!Z23=1,IF('Model inputs'!Z23="","",'Model inputs'!Z23=1))),IF('Model inputs'!AB64="","",'Model inputs'!AB64),IF('Base and upside comparison'!AR12="","",'Base and upside comparison'!AR12))="",0,IF(IF(IF(ISERROR('Model inputs'!Z23=1),'Model inputs'!Z23=1,IF('Model inputs'!Z23="","",'Model inputs'!Z23=1))="",FALSE,IF(ISERROR('Model inputs'!Z23=1),'Model inputs'!Z23=1,IF('Model inputs'!Z23="","",'Model inputs'!Z23=1))),IF('Model inputs'!AB64="","",'Model inputs'!AB64),IF('Base and upside comparison'!AR12="","",'Base and upside comparison'!AR12)))+'Model inputs'!Z42</f>
        <v>31803.008231424905</v>
      </c>
      <c r="AU12" s="9">
        <f>IF(IF(IF(IF(ISERROR('Model inputs'!Z24=1),'Model inputs'!Z24=1,IF('Model inputs'!Z24="","",'Model inputs'!Z24=1))="",FALSE,IF(ISERROR('Model inputs'!Z24=1),'Model inputs'!Z24=1,IF('Model inputs'!Z24="","",'Model inputs'!Z24=1))),IF('Model inputs'!AB65="","",'Model inputs'!AB65),IF('Base and upside comparison'!AS12="","",'Base and upside comparison'!AS12))="",0,IF(IF(IF(ISERROR('Model inputs'!Z24=1),'Model inputs'!Z24=1,IF('Model inputs'!Z24="","",'Model inputs'!Z24=1))="",FALSE,IF(ISERROR('Model inputs'!Z24=1),'Model inputs'!Z24=1,IF('Model inputs'!Z24="","",'Model inputs'!Z24=1))),IF('Model inputs'!AB65="","",'Model inputs'!AB65),IF('Base and upside comparison'!AS12="","",'Base and upside comparison'!AS12)))+'Model inputs'!Z43</f>
        <v>335145.8886387141</v>
      </c>
      <c r="AV12" s="9">
        <f>IF(IF(IF(IF(ISERROR('Model inputs'!B23=1),'Model inputs'!B23=1,IF('Model inputs'!B23="","",'Model inputs'!B23=1))="",FALSE,IF(ISERROR('Model inputs'!B23=1),'Model inputs'!B23=1,IF('Model inputs'!B23="","",'Model inputs'!B23=1))),IF('Model inputs'!AB64="","",'Model inputs'!AB64),IF('Base and upside comparison'!AT12="","",'Base and upside comparison'!AT12))="",0,IF(IF(IF(ISERROR('Model inputs'!B23=1),'Model inputs'!B23=1,IF('Model inputs'!B23="","",'Model inputs'!B23=1))="",FALSE,IF(ISERROR('Model inputs'!B23=1),'Model inputs'!B23=1,IF('Model inputs'!B23="","",'Model inputs'!B23=1))),IF('Model inputs'!AB64="","",'Model inputs'!AB64),IF('Base and upside comparison'!AT12="","",'Base and upside comparison'!AT12)))+'Model inputs'!B42</f>
        <v>36559.209219195895</v>
      </c>
      <c r="AW12" s="9">
        <f>IF(IF(IF(IF(ISERROR('Model inputs'!B24=1),'Model inputs'!B24=1,IF('Model inputs'!B24="","",'Model inputs'!B24=1))="",FALSE,IF(ISERROR('Model inputs'!B24=1),'Model inputs'!B24=1,IF('Model inputs'!B24="","",'Model inputs'!B24=1))),IF('Model inputs'!AB65="","",'Model inputs'!AB65),IF('Base and upside comparison'!AU12="","",'Base and upside comparison'!AU12))="",0,IF(IF(IF(ISERROR('Model inputs'!B24=1),'Model inputs'!B24=1,IF('Model inputs'!B24="","",'Model inputs'!B24=1))="",FALSE,IF(ISERROR('Model inputs'!B24=1),'Model inputs'!B24=1,IF('Model inputs'!B24="","",'Model inputs'!B24=1))),IF('Model inputs'!AB65="","",'Model inputs'!AB65),IF('Base and upside comparison'!AU12="","",'Base and upside comparison'!AU12)))+'Model inputs'!B43</f>
        <v>411008.5841392312</v>
      </c>
    </row>
    <row r="13">
      <c r="A13" t="inlineStr" s="5">
        <is>
          <t xml:space="preserve">Founder funding required to date</t>
        </is>
      </c>
      <c r="B13" s="14">
        <f>MAX(IF(IF(IF(ISERROR('Model inputs'!D23=1),'Model inputs'!D23=1,IF('Model inputs'!D23="","",'Model inputs'!D23=1))="",FALSE,IF(ISERROR('Model inputs'!D23=1),'Model inputs'!D23=1,IF('Model inputs'!D23="","",'Model inputs'!D23=1))),0,IF('Model inputs'!AA25="","",'Model inputs'!AA25)),-'Base and upside comparison'!B12,0)</f>
        <v>144</v>
      </c>
      <c r="C13" s="14">
        <f>MAX(IF(IF(IF(ISERROR('Model inputs'!D24=1),'Model inputs'!D24=1,IF('Model inputs'!D24="","",'Model inputs'!D24=1))="",FALSE,IF(ISERROR('Model inputs'!D24=1),'Model inputs'!D24=1,IF('Model inputs'!D24="","",'Model inputs'!D24=1))),0,IF('Model inputs'!AA26="","",'Model inputs'!AA26)),-'Base and upside comparison'!C12,0)</f>
        <v>0</v>
      </c>
      <c r="D13" s="14">
        <f>MAX(IF(IF(IF(ISERROR('Model inputs'!E23=1),'Model inputs'!E23=1,IF('Model inputs'!E23="","",'Model inputs'!E23=1))="",FALSE,IF(ISERROR('Model inputs'!E23=1),'Model inputs'!E23=1,IF('Model inputs'!E23="","",'Model inputs'!E23=1))),0,IF('Base and upside comparison'!B13="","",'Base and upside comparison'!B13)),-'Base and upside comparison'!D12,0)</f>
        <v>144</v>
      </c>
      <c r="E13" s="14">
        <f>MAX(IF(IF(IF(ISERROR('Model inputs'!E24=1),'Model inputs'!E24=1,IF('Model inputs'!E24="","",'Model inputs'!E24=1))="",FALSE,IF(ISERROR('Model inputs'!E24=1),'Model inputs'!E24=1,IF('Model inputs'!E24="","",'Model inputs'!E24=1))),0,IF('Base and upside comparison'!C13="","",'Base and upside comparison'!C13)),-'Base and upside comparison'!E12,0)</f>
        <v>0</v>
      </c>
      <c r="F13" s="14">
        <f>MAX(IF(IF(IF(ISERROR('Model inputs'!F23=1),'Model inputs'!F23=1,IF('Model inputs'!F23="","",'Model inputs'!F23=1))="",FALSE,IF(ISERROR('Model inputs'!F23=1),'Model inputs'!F23=1,IF('Model inputs'!F23="","",'Model inputs'!F23=1))),0,IF('Base and upside comparison'!D13="","",'Base and upside comparison'!D13)),-'Base and upside comparison'!F12,0)</f>
        <v>144</v>
      </c>
      <c r="G13" s="14">
        <f>MAX(IF(IF(IF(ISERROR('Model inputs'!F24=1),'Model inputs'!F24=1,IF('Model inputs'!F24="","",'Model inputs'!F24=1))="",FALSE,IF(ISERROR('Model inputs'!F24=1),'Model inputs'!F24=1,IF('Model inputs'!F24="","",'Model inputs'!F24=1))),0,IF('Base and upside comparison'!E13="","",'Base and upside comparison'!E13)),-'Base and upside comparison'!G12,0)</f>
        <v>0</v>
      </c>
      <c r="H13" s="14">
        <f>MAX(IF(IF(IF(ISERROR('Model inputs'!G23=1),'Model inputs'!G23=1,IF('Model inputs'!G23="","",'Model inputs'!G23=1))="",FALSE,IF(ISERROR('Model inputs'!G23=1),'Model inputs'!G23=1,IF('Model inputs'!G23="","",'Model inputs'!G23=1))),0,IF('Base and upside comparison'!F13="","",'Base and upside comparison'!F13)),-'Base and upside comparison'!H12,0)</f>
        <v>144</v>
      </c>
      <c r="I13" s="14">
        <f>MAX(IF(IF(IF(ISERROR('Model inputs'!G24=1),'Model inputs'!G24=1,IF('Model inputs'!G24="","",'Model inputs'!G24=1))="",FALSE,IF(ISERROR('Model inputs'!G24=1),'Model inputs'!G24=1,IF('Model inputs'!G24="","",'Model inputs'!G24=1))),0,IF('Base and upside comparison'!G13="","",'Base and upside comparison'!G13)),-'Base and upside comparison'!I12,0)</f>
        <v>0</v>
      </c>
      <c r="J13" s="14">
        <f>MAX(IF(IF(IF(ISERROR('Model inputs'!H23=1),'Model inputs'!H23=1,IF('Model inputs'!H23="","",'Model inputs'!H23=1))="",FALSE,IF(ISERROR('Model inputs'!H23=1),'Model inputs'!H23=1,IF('Model inputs'!H23="","",'Model inputs'!H23=1))),0,IF('Base and upside comparison'!H13="","",'Base and upside comparison'!H13)),-'Base and upside comparison'!J12,0)</f>
        <v>144</v>
      </c>
      <c r="K13" s="14">
        <f>MAX(IF(IF(IF(ISERROR('Model inputs'!H24=1),'Model inputs'!H24=1,IF('Model inputs'!H24="","",'Model inputs'!H24=1))="",FALSE,IF(ISERROR('Model inputs'!H24=1),'Model inputs'!H24=1,IF('Model inputs'!H24="","",'Model inputs'!H24=1))),0,IF('Base and upside comparison'!I13="","",'Base and upside comparison'!I13)),-'Base and upside comparison'!K12,0)</f>
        <v>0</v>
      </c>
      <c r="L13" s="14">
        <f>MAX(IF(IF(IF(ISERROR('Model inputs'!I23=1),'Model inputs'!I23=1,IF('Model inputs'!I23="","",'Model inputs'!I23=1))="",FALSE,IF(ISERROR('Model inputs'!I23=1),'Model inputs'!I23=1,IF('Model inputs'!I23="","",'Model inputs'!I23=1))),0,IF('Base and upside comparison'!J13="","",'Base and upside comparison'!J13)),-'Base and upside comparison'!L12,0)</f>
        <v>144</v>
      </c>
      <c r="M13" s="14">
        <f>MAX(IF(IF(IF(ISERROR('Model inputs'!I24=1),'Model inputs'!I24=1,IF('Model inputs'!I24="","",'Model inputs'!I24=1))="",FALSE,IF(ISERROR('Model inputs'!I24=1),'Model inputs'!I24=1,IF('Model inputs'!I24="","",'Model inputs'!I24=1))),0,IF('Base and upside comparison'!K13="","",'Base and upside comparison'!K13)),-'Base and upside comparison'!M12,0)</f>
        <v>0</v>
      </c>
      <c r="N13" s="14">
        <f>MAX(IF(IF(IF(ISERROR('Model inputs'!J23=1),'Model inputs'!J23=1,IF('Model inputs'!J23="","",'Model inputs'!J23=1))="",FALSE,IF(ISERROR('Model inputs'!J23=1),'Model inputs'!J23=1,IF('Model inputs'!J23="","",'Model inputs'!J23=1))),0,IF('Base and upside comparison'!L13="","",'Base and upside comparison'!L13)),-'Base and upside comparison'!N12,0)</f>
        <v>144</v>
      </c>
      <c r="O13" s="14">
        <f>MAX(IF(IF(IF(ISERROR('Model inputs'!J24=1),'Model inputs'!J24=1,IF('Model inputs'!J24="","",'Model inputs'!J24=1))="",FALSE,IF(ISERROR('Model inputs'!J24=1),'Model inputs'!J24=1,IF('Model inputs'!J24="","",'Model inputs'!J24=1))),0,IF('Base and upside comparison'!M13="","",'Base and upside comparison'!M13)),-'Base and upside comparison'!O12,0)</f>
        <v>0</v>
      </c>
      <c r="P13" s="14">
        <f>MAX(IF(IF(IF(ISERROR('Model inputs'!K23=1),'Model inputs'!K23=1,IF('Model inputs'!K23="","",'Model inputs'!K23=1))="",FALSE,IF(ISERROR('Model inputs'!K23=1),'Model inputs'!K23=1,IF('Model inputs'!K23="","",'Model inputs'!K23=1))),0,IF('Base and upside comparison'!N13="","",'Base and upside comparison'!N13)),-'Base and upside comparison'!P12,0)</f>
        <v>144</v>
      </c>
      <c r="Q13" s="14">
        <f>MAX(IF(IF(IF(ISERROR('Model inputs'!K24=1),'Model inputs'!K24=1,IF('Model inputs'!K24="","",'Model inputs'!K24=1))="",FALSE,IF(ISERROR('Model inputs'!K24=1),'Model inputs'!K24=1,IF('Model inputs'!K24="","",'Model inputs'!K24=1))),0,IF('Base and upside comparison'!O13="","",'Base and upside comparison'!O13)),-'Base and upside comparison'!Q12,0)</f>
        <v>0</v>
      </c>
      <c r="R13" s="14">
        <f>MAX(IF(IF(IF(ISERROR('Model inputs'!L23=1),'Model inputs'!L23=1,IF('Model inputs'!L23="","",'Model inputs'!L23=1))="",FALSE,IF(ISERROR('Model inputs'!L23=1),'Model inputs'!L23=1,IF('Model inputs'!L23="","",'Model inputs'!L23=1))),0,IF('Base and upside comparison'!P13="","",'Base and upside comparison'!P13)),-'Base and upside comparison'!R12,0)</f>
        <v>144</v>
      </c>
      <c r="S13" s="14">
        <f>MAX(IF(IF(IF(ISERROR('Model inputs'!L24=1),'Model inputs'!L24=1,IF('Model inputs'!L24="","",'Model inputs'!L24=1))="",FALSE,IF(ISERROR('Model inputs'!L24=1),'Model inputs'!L24=1,IF('Model inputs'!L24="","",'Model inputs'!L24=1))),0,IF('Base and upside comparison'!Q13="","",'Base and upside comparison'!Q13)),-'Base and upside comparison'!S12,0)</f>
        <v>0</v>
      </c>
      <c r="T13" s="14">
        <f>MAX(IF(IF(IF(ISERROR('Model inputs'!M23=1),'Model inputs'!M23=1,IF('Model inputs'!M23="","",'Model inputs'!M23=1))="",FALSE,IF(ISERROR('Model inputs'!M23=1),'Model inputs'!M23=1,IF('Model inputs'!M23="","",'Model inputs'!M23=1))),0,IF('Base and upside comparison'!R13="","",'Base and upside comparison'!R13)),-'Base and upside comparison'!T12,0)</f>
        <v>144</v>
      </c>
      <c r="U13" s="14">
        <f>MAX(IF(IF(IF(ISERROR('Model inputs'!M24=1),'Model inputs'!M24=1,IF('Model inputs'!M24="","",'Model inputs'!M24=1))="",FALSE,IF(ISERROR('Model inputs'!M24=1),'Model inputs'!M24=1,IF('Model inputs'!M24="","",'Model inputs'!M24=1))),0,IF('Base and upside comparison'!S13="","",'Base and upside comparison'!S13)),-'Base and upside comparison'!U12,0)</f>
        <v>0</v>
      </c>
      <c r="V13" s="14">
        <f>MAX(IF(IF(IF(ISERROR('Model inputs'!N23=1),'Model inputs'!N23=1,IF('Model inputs'!N23="","",'Model inputs'!N23=1))="",FALSE,IF(ISERROR('Model inputs'!N23=1),'Model inputs'!N23=1,IF('Model inputs'!N23="","",'Model inputs'!N23=1))),0,IF('Base and upside comparison'!T13="","",'Base and upside comparison'!T13)),-'Base and upside comparison'!V12,0)</f>
        <v>144</v>
      </c>
      <c r="W13" s="14">
        <f>MAX(IF(IF(IF(ISERROR('Model inputs'!N24=1),'Model inputs'!N24=1,IF('Model inputs'!N24="","",'Model inputs'!N24=1))="",FALSE,IF(ISERROR('Model inputs'!N24=1),'Model inputs'!N24=1,IF('Model inputs'!N24="","",'Model inputs'!N24=1))),0,IF('Base and upside comparison'!U13="","",'Base and upside comparison'!U13)),-'Base and upside comparison'!W12,0)</f>
        <v>0</v>
      </c>
      <c r="X13" s="14">
        <f>MAX(IF(IF(IF(ISERROR('Model inputs'!O23=1),'Model inputs'!O23=1,IF('Model inputs'!O23="","",'Model inputs'!O23=1))="",FALSE,IF(ISERROR('Model inputs'!O23=1),'Model inputs'!O23=1,IF('Model inputs'!O23="","",'Model inputs'!O23=1))),0,IF('Base and upside comparison'!V13="","",'Base and upside comparison'!V13)),-'Base and upside comparison'!X12,0)</f>
        <v>144</v>
      </c>
      <c r="Y13" s="14">
        <f>MAX(IF(IF(IF(ISERROR('Model inputs'!O24=1),'Model inputs'!O24=1,IF('Model inputs'!O24="","",'Model inputs'!O24=1))="",FALSE,IF(ISERROR('Model inputs'!O24=1),'Model inputs'!O24=1,IF('Model inputs'!O24="","",'Model inputs'!O24=1))),0,IF('Base and upside comparison'!W13="","",'Base and upside comparison'!W13)),-'Base and upside comparison'!Y12,0)</f>
        <v>0</v>
      </c>
      <c r="Z13" s="14">
        <f>MAX(IF(IF(IF(ISERROR('Model inputs'!P23=1),'Model inputs'!P23=1,IF('Model inputs'!P23="","",'Model inputs'!P23=1))="",FALSE,IF(ISERROR('Model inputs'!P23=1),'Model inputs'!P23=1,IF('Model inputs'!P23="","",'Model inputs'!P23=1))),0,IF('Base and upside comparison'!X13="","",'Base and upside comparison'!X13)),-'Base and upside comparison'!Z12,0)</f>
        <v>144</v>
      </c>
      <c r="AA13" s="14">
        <f>MAX(IF(IF(IF(ISERROR('Model inputs'!P24=1),'Model inputs'!P24=1,IF('Model inputs'!P24="","",'Model inputs'!P24=1))="",FALSE,IF(ISERROR('Model inputs'!P24=1),'Model inputs'!P24=1,IF('Model inputs'!P24="","",'Model inputs'!P24=1))),0,IF('Base and upside comparison'!Y13="","",'Base and upside comparison'!Y13)),-'Base and upside comparison'!AA12,0)</f>
        <v>0</v>
      </c>
      <c r="AB13" s="14">
        <f>MAX(IF(IF(IF(ISERROR('Model inputs'!Q23=1),'Model inputs'!Q23=1,IF('Model inputs'!Q23="","",'Model inputs'!Q23=1))="",FALSE,IF(ISERROR('Model inputs'!Q23=1),'Model inputs'!Q23=1,IF('Model inputs'!Q23="","",'Model inputs'!Q23=1))),0,IF('Base and upside comparison'!Z13="","",'Base and upside comparison'!Z13)),-'Base and upside comparison'!AB12,0)</f>
        <v>144</v>
      </c>
      <c r="AC13" s="14">
        <f>MAX(IF(IF(IF(ISERROR('Model inputs'!Q24=1),'Model inputs'!Q24=1,IF('Model inputs'!Q24="","",'Model inputs'!Q24=1))="",FALSE,IF(ISERROR('Model inputs'!Q24=1),'Model inputs'!Q24=1,IF('Model inputs'!Q24="","",'Model inputs'!Q24=1))),0,IF('Base and upside comparison'!AA13="","",'Base and upside comparison'!AA13)),-'Base and upside comparison'!AC12,0)</f>
        <v>0</v>
      </c>
      <c r="AD13" s="14">
        <f>MAX(IF(IF(IF(ISERROR('Model inputs'!R23=1),'Model inputs'!R23=1,IF('Model inputs'!R23="","",'Model inputs'!R23=1))="",FALSE,IF(ISERROR('Model inputs'!R23=1),'Model inputs'!R23=1,IF('Model inputs'!R23="","",'Model inputs'!R23=1))),0,IF('Base and upside comparison'!AB13="","",'Base and upside comparison'!AB13)),-'Base and upside comparison'!AD12,0)</f>
        <v>144</v>
      </c>
      <c r="AE13" s="14">
        <f>MAX(IF(IF(IF(ISERROR('Model inputs'!R24=1),'Model inputs'!R24=1,IF('Model inputs'!R24="","",'Model inputs'!R24=1))="",FALSE,IF(ISERROR('Model inputs'!R24=1),'Model inputs'!R24=1,IF('Model inputs'!R24="","",'Model inputs'!R24=1))),0,IF('Base and upside comparison'!AC13="","",'Base and upside comparison'!AC13)),-'Base and upside comparison'!AE12,0)</f>
        <v>0</v>
      </c>
      <c r="AF13" s="14">
        <f>MAX(IF(IF(IF(ISERROR('Model inputs'!S23=1),'Model inputs'!S23=1,IF('Model inputs'!S23="","",'Model inputs'!S23=1))="",FALSE,IF(ISERROR('Model inputs'!S23=1),'Model inputs'!S23=1,IF('Model inputs'!S23="","",'Model inputs'!S23=1))),0,IF('Base and upside comparison'!AD13="","",'Base and upside comparison'!AD13)),-'Base and upside comparison'!AF12,0)</f>
        <v>144</v>
      </c>
      <c r="AG13" s="14">
        <f>MAX(IF(IF(IF(ISERROR('Model inputs'!S24=1),'Model inputs'!S24=1,IF('Model inputs'!S24="","",'Model inputs'!S24=1))="",FALSE,IF(ISERROR('Model inputs'!S24=1),'Model inputs'!S24=1,IF('Model inputs'!S24="","",'Model inputs'!S24=1))),0,IF('Base and upside comparison'!AE13="","",'Base and upside comparison'!AE13)),-'Base and upside comparison'!AG12,0)</f>
        <v>0</v>
      </c>
      <c r="AH13" s="14">
        <f>MAX(IF(IF(IF(ISERROR('Model inputs'!T23=1),'Model inputs'!T23=1,IF('Model inputs'!T23="","",'Model inputs'!T23=1))="",FALSE,IF(ISERROR('Model inputs'!T23=1),'Model inputs'!T23=1,IF('Model inputs'!T23="","",'Model inputs'!T23=1))),0,IF('Base and upside comparison'!AF13="","",'Base and upside comparison'!AF13)),-'Base and upside comparison'!AH12,0)</f>
        <v>144</v>
      </c>
      <c r="AI13" s="14">
        <f>MAX(IF(IF(IF(ISERROR('Model inputs'!T24=1),'Model inputs'!T24=1,IF('Model inputs'!T24="","",'Model inputs'!T24=1))="",FALSE,IF(ISERROR('Model inputs'!T24=1),'Model inputs'!T24=1,IF('Model inputs'!T24="","",'Model inputs'!T24=1))),0,IF('Base and upside comparison'!AG13="","",'Base and upside comparison'!AG13)),-'Base and upside comparison'!AI12,0)</f>
        <v>0</v>
      </c>
      <c r="AJ13" s="14">
        <f>MAX(IF(IF(IF(ISERROR('Model inputs'!U23=1),'Model inputs'!U23=1,IF('Model inputs'!U23="","",'Model inputs'!U23=1))="",FALSE,IF(ISERROR('Model inputs'!U23=1),'Model inputs'!U23=1,IF('Model inputs'!U23="","",'Model inputs'!U23=1))),0,IF('Base and upside comparison'!AH13="","",'Base and upside comparison'!AH13)),-'Base and upside comparison'!AJ12,0)</f>
        <v>144</v>
      </c>
      <c r="AK13" s="14">
        <f>MAX(IF(IF(IF(ISERROR('Model inputs'!U24=1),'Model inputs'!U24=1,IF('Model inputs'!U24="","",'Model inputs'!U24=1))="",FALSE,IF(ISERROR('Model inputs'!U24=1),'Model inputs'!U24=1,IF('Model inputs'!U24="","",'Model inputs'!U24=1))),0,IF('Base and upside comparison'!AI13="","",'Base and upside comparison'!AI13)),-'Base and upside comparison'!AK12,0)</f>
        <v>0</v>
      </c>
      <c r="AL13" s="14">
        <f>MAX(IF(IF(IF(ISERROR('Model inputs'!V23=1),'Model inputs'!V23=1,IF('Model inputs'!V23="","",'Model inputs'!V23=1))="",FALSE,IF(ISERROR('Model inputs'!V23=1),'Model inputs'!V23=1,IF('Model inputs'!V23="","",'Model inputs'!V23=1))),0,IF('Base and upside comparison'!AJ13="","",'Base and upside comparison'!AJ13)),-'Base and upside comparison'!AL12,0)</f>
        <v>144</v>
      </c>
      <c r="AM13" s="14">
        <f>MAX(IF(IF(IF(ISERROR('Model inputs'!V24=1),'Model inputs'!V24=1,IF('Model inputs'!V24="","",'Model inputs'!V24=1))="",FALSE,IF(ISERROR('Model inputs'!V24=1),'Model inputs'!V24=1,IF('Model inputs'!V24="","",'Model inputs'!V24=1))),0,IF('Base and upside comparison'!AK13="","",'Base and upside comparison'!AK13)),-'Base and upside comparison'!AM12,0)</f>
        <v>0</v>
      </c>
      <c r="AN13" s="14">
        <f>MAX(IF(IF(IF(ISERROR('Model inputs'!W23=1),'Model inputs'!W23=1,IF('Model inputs'!W23="","",'Model inputs'!W23=1))="",FALSE,IF(ISERROR('Model inputs'!W23=1),'Model inputs'!W23=1,IF('Model inputs'!W23="","",'Model inputs'!W23=1))),0,IF('Base and upside comparison'!AL13="","",'Base and upside comparison'!AL13)),-'Base and upside comparison'!AN12,0)</f>
        <v>144</v>
      </c>
      <c r="AO13" s="14">
        <f>MAX(IF(IF(IF(ISERROR('Model inputs'!W24=1),'Model inputs'!W24=1,IF('Model inputs'!W24="","",'Model inputs'!W24=1))="",FALSE,IF(ISERROR('Model inputs'!W24=1),'Model inputs'!W24=1,IF('Model inputs'!W24="","",'Model inputs'!W24=1))),0,IF('Base and upside comparison'!AM13="","",'Base and upside comparison'!AM13)),-'Base and upside comparison'!AO12,0)</f>
        <v>0</v>
      </c>
      <c r="AP13" s="14">
        <f>MAX(IF(IF(IF(ISERROR('Model inputs'!X23=1),'Model inputs'!X23=1,IF('Model inputs'!X23="","",'Model inputs'!X23=1))="",FALSE,IF(ISERROR('Model inputs'!X23=1),'Model inputs'!X23=1,IF('Model inputs'!X23="","",'Model inputs'!X23=1))),0,IF('Base and upside comparison'!AN13="","",'Base and upside comparison'!AN13)),-'Base and upside comparison'!AP12,0)</f>
        <v>144</v>
      </c>
      <c r="AQ13" s="14">
        <f>MAX(IF(IF(IF(ISERROR('Model inputs'!X24=1),'Model inputs'!X24=1,IF('Model inputs'!X24="","",'Model inputs'!X24=1))="",FALSE,IF(ISERROR('Model inputs'!X24=1),'Model inputs'!X24=1,IF('Model inputs'!X24="","",'Model inputs'!X24=1))),0,IF('Base and upside comparison'!AO13="","",'Base and upside comparison'!AO13)),-'Base and upside comparison'!AQ12,0)</f>
        <v>0</v>
      </c>
      <c r="AR13" s="14">
        <f>MAX(IF(IF(IF(ISERROR('Model inputs'!Y23=1),'Model inputs'!Y23=1,IF('Model inputs'!Y23="","",'Model inputs'!Y23=1))="",FALSE,IF(ISERROR('Model inputs'!Y23=1),'Model inputs'!Y23=1,IF('Model inputs'!Y23="","",'Model inputs'!Y23=1))),0,IF('Base and upside comparison'!AP13="","",'Base and upside comparison'!AP13)),-'Base and upside comparison'!AR12,0)</f>
        <v>144</v>
      </c>
      <c r="AS13" s="14">
        <f>MAX(IF(IF(IF(ISERROR('Model inputs'!Y24=1),'Model inputs'!Y24=1,IF('Model inputs'!Y24="","",'Model inputs'!Y24=1))="",FALSE,IF(ISERROR('Model inputs'!Y24=1),'Model inputs'!Y24=1,IF('Model inputs'!Y24="","",'Model inputs'!Y24=1))),0,IF('Base and upside comparison'!AQ13="","",'Base and upside comparison'!AQ13)),-'Base and upside comparison'!AS12,0)</f>
        <v>0</v>
      </c>
      <c r="AT13" s="14">
        <f>MAX(IF(IF(IF(ISERROR('Model inputs'!Z23=1),'Model inputs'!Z23=1,IF('Model inputs'!Z23="","",'Model inputs'!Z23=1))="",FALSE,IF(ISERROR('Model inputs'!Z23=1),'Model inputs'!Z23=1,IF('Model inputs'!Z23="","",'Model inputs'!Z23=1))),0,IF('Base and upside comparison'!AR13="","",'Base and upside comparison'!AR13)),-'Base and upside comparison'!AT12,0)</f>
        <v>144</v>
      </c>
      <c r="AU13" s="14">
        <f>MAX(IF(IF(IF(ISERROR('Model inputs'!Z24=1),'Model inputs'!Z24=1,IF('Model inputs'!Z24="","",'Model inputs'!Z24=1))="",FALSE,IF(ISERROR('Model inputs'!Z24=1),'Model inputs'!Z24=1,IF('Model inputs'!Z24="","",'Model inputs'!Z24=1))),0,IF('Base and upside comparison'!AS13="","",'Base and upside comparison'!AS13)),-'Base and upside comparison'!AU12,0)</f>
        <v>0</v>
      </c>
      <c r="AV13" s="14">
        <f>MAX(IF(IF(IF(ISERROR('Model inputs'!B23=1),'Model inputs'!B23=1,IF('Model inputs'!B23="","",'Model inputs'!B23=1))="",FALSE,IF(ISERROR('Model inputs'!B23=1),'Model inputs'!B23=1,IF('Model inputs'!B23="","",'Model inputs'!B23=1))),0,IF('Base and upside comparison'!AT13="","",'Base and upside comparison'!AT13)),-'Base and upside comparison'!AV12,0)</f>
        <v>144</v>
      </c>
      <c r="AW13" s="14">
        <f>MAX(IF(IF(IF(ISERROR('Model inputs'!B24=1),'Model inputs'!B24=1,IF('Model inputs'!B24="","",'Model inputs'!B24=1))="",FALSE,IF(ISERROR('Model inputs'!B24=1),'Model inputs'!B24=1,IF('Model inputs'!B24="","",'Model inputs'!B24=1))),0,IF('Base and upside comparison'!AU13="","",'Base and upside comparison'!AU13)),-'Base and upside comparison'!AW12,0)</f>
        <v>0</v>
      </c>
    </row>
  </sheetData>
  <mergeCells count="1">
    <mergeCell ref="A1:AW1"/>
  </mergeCells>
</worksheet>
</file>

<file path=xl/worksheets/sheet3.xml><?xml version="1.0" encoding="utf-8"?>
<worksheet xmlns="http://schemas.openxmlformats.org/spreadsheetml/2006/main">
  <dimension ref="A1:B10"/>
  <sheetViews>
    <sheetView showGridLines="0" workbookViewId="0">
      <pane xSplit="1" ySplit="4" topLeftCell="B5" activePane="bottomRight" state="frozen"/>
      <selection pane="bottomRight" activeCell="B5" sqref="B5"/>
    </sheetView>
  </sheetViews>
  <sheetFormatPr defaultRowHeight="18"/>
  <cols>
    <col min="1" max="1" width="40" customWidth="1"/>
    <col min="2" max="2" width="19" customWidth="1"/>
  </cols>
  <sheetData>
    <row r="1" ht="32" customHeight="1">
      <c r="A1" t="inlineStr" s="1">
        <is>
          <t xml:space="preserve">Sensitivity decision summary</t>
        </is>
      </c>
    </row>
    <row r="2" ht="20" customHeight="1">
      <c r="A2" t="inlineStr" s="2">
        <is>
          <t xml:space="preserve">Upshift — Business Plan · Main Scenario</t>
        </is>
      </c>
    </row>
    <row r="4" ht="22" customHeight="1">
      <c r="A4" t="inlineStr" s="3">
        <is>
          <t xml:space="preserve">Variable / dimension</t>
        </is>
      </c>
      <c r="B4" t="inlineStr" s="4">
        <is>
          <t xml:space="preserve">Value</t>
        </is>
      </c>
    </row>
    <row r="5">
      <c r="A5" t="inlineStr" s="5">
        <is>
          <t xml:space="preserve">Migration stress break-even month</t>
        </is>
      </c>
      <c r="B5" s="6">
        <f>MIN('Model inputs'!D36,'Model inputs'!E36,'Model inputs'!F36,'Model inputs'!G36,'Model inputs'!H36,'Model inputs'!I36,'Model inputs'!J36,'Model inputs'!K36,'Model inputs'!L36,'Model inputs'!M36,'Model inputs'!N36,'Model inputs'!O36,'Model inputs'!P36,'Model inputs'!Q36,'Model inputs'!R36,'Model inputs'!S36,'Model inputs'!T36,'Model inputs'!U36,'Model inputs'!V36,'Model inputs'!W36,'Model inputs'!X36,'Model inputs'!Y36,'Model inputs'!Z36,'Model inputs'!B36)</f>
        <v>46357</v>
      </c>
    </row>
    <row r="6">
      <c r="A6" t="inlineStr" s="7">
        <is>
          <t xml:space="preserve">Migration stress funding need</t>
        </is>
      </c>
      <c r="B6" s="15">
        <f>MAX(0,-MIN('Model inputs'!D11,'Model inputs'!E11,'Model inputs'!F11,'Model inputs'!G11,'Model inputs'!H11,'Model inputs'!I11,'Model inputs'!J11,'Model inputs'!K11,'Model inputs'!L11,'Model inputs'!M11,'Model inputs'!N11,'Model inputs'!O11,'Model inputs'!P11,'Model inputs'!Q11,'Model inputs'!R11,'Model inputs'!S11,'Model inputs'!T11,'Model inputs'!U11,'Model inputs'!V11,'Model inputs'!W11,'Model inputs'!X11,'Model inputs'!Y11,'Model inputs'!Z11,'Model inputs'!B11))</f>
        <v>161.99999999999994</v>
      </c>
    </row>
    <row r="7">
      <c r="A7" t="inlineStr" s="7">
        <is>
          <t xml:space="preserve">Price stress break-even month</t>
        </is>
      </c>
      <c r="B7" s="8">
        <f>MIN('Model inputs'!D60,'Model inputs'!E60,'Model inputs'!F60,'Model inputs'!G60,'Model inputs'!H60,'Model inputs'!I60,'Model inputs'!J60,'Model inputs'!K60,'Model inputs'!L60,'Model inputs'!M60,'Model inputs'!N60,'Model inputs'!O60,'Model inputs'!P60,'Model inputs'!Q60,'Model inputs'!R60,'Model inputs'!S60,'Model inputs'!T60,'Model inputs'!U60,'Model inputs'!V60,'Model inputs'!W60,'Model inputs'!X60,'Model inputs'!Y60,'Model inputs'!Z60,'Model inputs'!B60)</f>
        <v>46388</v>
      </c>
    </row>
    <row r="8">
      <c r="A8" t="inlineStr" s="7">
        <is>
          <t xml:space="preserve">Price stress funding need</t>
        </is>
      </c>
      <c r="B8" s="15">
        <f>MAX(0,-MIN('Model inputs'!D12,'Model inputs'!E12,'Model inputs'!F12,'Model inputs'!G12,'Model inputs'!H12,'Model inputs'!I12,'Model inputs'!J12,'Model inputs'!K12,'Model inputs'!L12,'Model inputs'!M12,'Model inputs'!N12,'Model inputs'!O12,'Model inputs'!P12,'Model inputs'!Q12,'Model inputs'!R12,'Model inputs'!S12,'Model inputs'!T12,'Model inputs'!U12,'Model inputs'!V12,'Model inputs'!W12,'Model inputs'!X12,'Model inputs'!Y12,'Model inputs'!Z12,'Model inputs'!B12))</f>
        <v>363.99999999999983</v>
      </c>
    </row>
    <row r="9">
      <c r="A9" t="inlineStr" s="7">
        <is>
          <t xml:space="preserve">Combined stress break-even month</t>
        </is>
      </c>
      <c r="B9" s="8">
        <f>MIN('Model inputs'!D16,'Model inputs'!E16,'Model inputs'!F16,'Model inputs'!G16,'Model inputs'!H16,'Model inputs'!I16,'Model inputs'!J16,'Model inputs'!K16,'Model inputs'!L16,'Model inputs'!M16,'Model inputs'!N16,'Model inputs'!O16,'Model inputs'!P16,'Model inputs'!Q16,'Model inputs'!R16,'Model inputs'!S16,'Model inputs'!T16,'Model inputs'!U16,'Model inputs'!V16,'Model inputs'!W16,'Model inputs'!X16,'Model inputs'!Y16,'Model inputs'!Z16,'Model inputs'!B16)</f>
        <v>46447</v>
      </c>
    </row>
    <row r="10">
      <c r="A10" t="inlineStr" s="5">
        <is>
          <t xml:space="preserve">Combined stress funding need</t>
        </is>
      </c>
      <c r="B10" s="16">
        <f>MAX(0,-MIN('Model inputs'!D10,'Model inputs'!E10,'Model inputs'!F10,'Model inputs'!G10,'Model inputs'!H10,'Model inputs'!I10,'Model inputs'!J10,'Model inputs'!K10,'Model inputs'!L10,'Model inputs'!M10,'Model inputs'!N10,'Model inputs'!O10,'Model inputs'!P10,'Model inputs'!Q10,'Model inputs'!R10,'Model inputs'!S10,'Model inputs'!T10,'Model inputs'!U10,'Model inputs'!V10,'Model inputs'!W10,'Model inputs'!X10,'Model inputs'!Y10,'Model inputs'!Z10,'Model inputs'!B10))</f>
        <v>458.89279999999974</v>
      </c>
    </row>
  </sheetData>
  <mergeCells count="1">
    <mergeCell ref="A1:B1"/>
  </mergeCells>
</worksheet>
</file>

<file path=xl/worksheets/sheet4.xml><?xml version="1.0" encoding="utf-8"?>
<worksheet xmlns="http://schemas.openxmlformats.org/spreadsheetml/2006/main">
  <dimension ref="A1:AB188"/>
  <sheetViews>
    <sheetView showGridLines="0" workbookViewId="0">
      <pane xSplit="1" ySplit="5" topLeftCell="B6" activePane="bottomRight" state="frozen"/>
      <selection pane="bottomRight" activeCell="B6" sqref="B6"/>
    </sheetView>
  </sheetViews>
  <sheetFormatPr defaultRowHeight="18"/>
  <cols>
    <col min="1" max="1" width="42"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s>
  <sheetData>
    <row r="1" ht="32" customHeight="1">
      <c r="A1" t="inlineStr" s="1">
        <is>
          <t xml:space="preserve">Model inputs</t>
        </is>
      </c>
    </row>
    <row r="2" ht="20" customHeight="1">
      <c r="A2" t="inlineStr" s="2">
        <is>
          <t xml:space="preserve">Integration values are aggregated snapshots; raw source records are not included.</t>
        </is>
      </c>
    </row>
    <row r="4">
      <c r="A4" t="inlineStr" s="17">
        <is>
          <t xml:space="preserve">Variables</t>
        </is>
      </c>
    </row>
    <row r="5" ht="22" customHeight="1">
      <c r="A5" t="inlineStr" s="3">
        <is>
          <t xml:space="preserve">Variable / segment</t>
        </is>
      </c>
      <c r="B5" t="inlineStr" s="4">
        <is>
          <t xml:space="preserve">2028-09</t>
        </is>
      </c>
      <c r="C5" t="inlineStr" s="4">
        <is>
          <t xml:space="preserve">Value</t>
        </is>
      </c>
      <c r="D5" t="inlineStr" s="13">
        <is>
          <t xml:space="preserve">2026-10</t>
        </is>
      </c>
      <c r="E5" t="inlineStr" s="4">
        <is>
          <t xml:space="preserve">2026-11</t>
        </is>
      </c>
      <c r="F5" t="inlineStr" s="4">
        <is>
          <t xml:space="preserve">2026-12</t>
        </is>
      </c>
      <c r="G5" t="inlineStr" s="13">
        <is>
          <t xml:space="preserve">2027-01</t>
        </is>
      </c>
      <c r="H5" t="inlineStr" s="4">
        <is>
          <t xml:space="preserve">2027-02</t>
        </is>
      </c>
      <c r="I5" t="inlineStr" s="4">
        <is>
          <t xml:space="preserve">2027-03</t>
        </is>
      </c>
      <c r="J5" t="inlineStr" s="13">
        <is>
          <t xml:space="preserve">2027-04</t>
        </is>
      </c>
      <c r="K5" t="inlineStr" s="4">
        <is>
          <t xml:space="preserve">2027-05</t>
        </is>
      </c>
      <c r="L5" t="inlineStr" s="4">
        <is>
          <t xml:space="preserve">2027-06</t>
        </is>
      </c>
      <c r="M5" t="inlineStr" s="13">
        <is>
          <t xml:space="preserve">2027-07</t>
        </is>
      </c>
      <c r="N5" t="inlineStr" s="4">
        <is>
          <t xml:space="preserve">2027-08</t>
        </is>
      </c>
      <c r="O5" t="inlineStr" s="4">
        <is>
          <t xml:space="preserve">2027-09</t>
        </is>
      </c>
      <c r="P5" t="inlineStr" s="13">
        <is>
          <t xml:space="preserve">2027-10</t>
        </is>
      </c>
      <c r="Q5" t="inlineStr" s="4">
        <is>
          <t xml:space="preserve">2027-11</t>
        </is>
      </c>
      <c r="R5" t="inlineStr" s="4">
        <is>
          <t xml:space="preserve">2027-12</t>
        </is>
      </c>
      <c r="S5" t="inlineStr" s="13">
        <is>
          <t xml:space="preserve">2028-01</t>
        </is>
      </c>
      <c r="T5" t="inlineStr" s="4">
        <is>
          <t xml:space="preserve">2028-02</t>
        </is>
      </c>
      <c r="U5" t="inlineStr" s="4">
        <is>
          <t xml:space="preserve">2028-03</t>
        </is>
      </c>
      <c r="V5" t="inlineStr" s="13">
        <is>
          <t xml:space="preserve">2028-04</t>
        </is>
      </c>
      <c r="W5" t="inlineStr" s="4">
        <is>
          <t xml:space="preserve">2028-05</t>
        </is>
      </c>
      <c r="X5" t="inlineStr" s="4">
        <is>
          <t xml:space="preserve">2028-06</t>
        </is>
      </c>
      <c r="Y5" t="inlineStr" s="13">
        <is>
          <t xml:space="preserve">2028-07</t>
        </is>
      </c>
      <c r="Z5" t="inlineStr" s="4">
        <is>
          <t xml:space="preserve">2028-08</t>
        </is>
      </c>
      <c r="AA5" t="inlineStr" s="4">
        <is>
          <t xml:space="preserve">2026-09</t>
        </is>
      </c>
      <c r="AB5" t="inlineStr" s="4">
        <is>
          <t xml:space="preserve">Value</t>
        </is>
      </c>
    </row>
    <row r="6">
      <c r="A6" t="inlineStr" s="18">
        <is>
          <t xml:space="preserve">Annual recurring revenue</t>
        </is>
      </c>
      <c r="B6" s="9">
        <f>'Model inputs'!B66*12</f>
        <v>63526.6277950714</v>
      </c>
    </row>
    <row r="7">
      <c r="A7" t="inlineStr" s="18">
        <is>
          <t xml:space="preserve">Breaking compute cost</t>
        </is>
      </c>
      <c r="C7" s="9">
        <f>0.1</f>
        <v>0.1</v>
      </c>
    </row>
    <row r="8">
      <c r="A8" t="inlineStr" s="18">
        <is>
          <t xml:space="preserve">Breaking migrations per repo</t>
        </is>
      </c>
      <c r="C8" s="10">
        <f>1</f>
        <v>1</v>
      </c>
    </row>
    <row r="9">
      <c r="A9" t="inlineStr" s="18">
        <is>
          <t xml:space="preserve">Breaking model cost</t>
        </is>
      </c>
      <c r="C9" s="9">
        <f>2</f>
        <v>2</v>
      </c>
    </row>
    <row r="10">
      <c r="A10" t="inlineStr" s="18">
        <is>
          <t xml:space="preserve">Cash at combined stress</t>
        </is>
      </c>
      <c r="B10" s="9">
        <f>IF(IF(IF(IF(ISERROR('Model inputs'!B23=1),'Model inputs'!B23=1,IF('Model inputs'!B23="","",'Model inputs'!B23=1))="",FALSE,IF(ISERROR('Model inputs'!B23=1),'Model inputs'!B23=1,IF('Model inputs'!B23="","",'Model inputs'!B23=1))),IF('Model inputs'!AB64="","",'Model inputs'!AB64),IF('Model inputs'!Z10="","",'Model inputs'!Z10))="",0,IF(IF(IF(ISERROR('Model inputs'!B23=1),'Model inputs'!B23=1,IF('Model inputs'!B23="","",'Model inputs'!B23=1))="",FALSE,IF(ISERROR('Model inputs'!B23=1),'Model inputs'!B23=1,IF('Model inputs'!B23="","",'Model inputs'!B23=1))),IF('Model inputs'!AB64="","",'Model inputs'!AB64),IF('Model inputs'!Z10="","",'Model inputs'!Z10)))+'Model inputs'!B115-'Model inputs'!C37</f>
        <v>15053.61494480475</v>
      </c>
      <c r="D10" s="9">
        <f>IF(IF(IF(IF(ISERROR('Model inputs'!D23=1),'Model inputs'!D23=1,IF('Model inputs'!D23="","",'Model inputs'!D23=1))="",FALSE,IF(ISERROR('Model inputs'!D23=1),'Model inputs'!D23=1,IF('Model inputs'!D23="","",'Model inputs'!D23=1))),IF('Model inputs'!AB64="","",'Model inputs'!AB64),IF('Model inputs'!AA78="","",'Model inputs'!AA78))="",0,IF(IF(IF(ISERROR('Model inputs'!D23=1),'Model inputs'!D23=1,IF('Model inputs'!D23="","",'Model inputs'!D23=1))="",FALSE,IF(ISERROR('Model inputs'!D23=1),'Model inputs'!D23=1,IF('Model inputs'!D23="","",'Model inputs'!D23=1))),IF('Model inputs'!AB64="","",'Model inputs'!AB64),IF('Model inputs'!AA78="","",'Model inputs'!AA78)))+'Model inputs'!D115-'Model inputs'!C37</f>
        <v>-220.66666666666666</v>
      </c>
      <c r="E10" s="9">
        <f>IF(IF(IF(IF(ISERROR('Model inputs'!E23=1),'Model inputs'!E23=1,IF('Model inputs'!E23="","",'Model inputs'!E23=1))="",FALSE,IF(ISERROR('Model inputs'!E23=1),'Model inputs'!E23=1,IF('Model inputs'!E23="","",'Model inputs'!E23=1))),IF('Model inputs'!AB64="","",'Model inputs'!AB64),IF('Model inputs'!D10="","",'Model inputs'!D10))="",0,IF(IF(IF(ISERROR('Model inputs'!E23=1),'Model inputs'!E23=1,IF('Model inputs'!E23="","",'Model inputs'!E23=1))="",FALSE,IF(ISERROR('Model inputs'!E23=1),'Model inputs'!E23=1,IF('Model inputs'!E23="","",'Model inputs'!E23=1))),IF('Model inputs'!AB64="","",'Model inputs'!AB64),IF('Model inputs'!D10="","",'Model inputs'!D10)))+'Model inputs'!E115-'Model inputs'!C37</f>
        <v>-362</v>
      </c>
      <c r="F10" s="9">
        <f>IF(IF(IF(IF(ISERROR('Model inputs'!F23=1),'Model inputs'!F23=1,IF('Model inputs'!F23="","",'Model inputs'!F23=1))="",FALSE,IF(ISERROR('Model inputs'!F23=1),'Model inputs'!F23=1,IF('Model inputs'!F23="","",'Model inputs'!F23=1))),IF('Model inputs'!AB64="","",'Model inputs'!AB64),IF('Model inputs'!E10="","",'Model inputs'!E10))="",0,IF(IF(IF(ISERROR('Model inputs'!F23=1),'Model inputs'!F23=1,IF('Model inputs'!F23="","",'Model inputs'!F23=1))="",FALSE,IF(ISERROR('Model inputs'!F23=1),'Model inputs'!F23=1,IF('Model inputs'!F23="","",'Model inputs'!F23=1))),IF('Model inputs'!AB64="","",'Model inputs'!AB64),IF('Model inputs'!E10="","",'Model inputs'!E10)))+'Model inputs'!F115-'Model inputs'!C37</f>
        <v>-423.9999999999999</v>
      </c>
      <c r="G10" s="9">
        <f>IF(IF(IF(IF(ISERROR('Model inputs'!G23=1),'Model inputs'!G23=1,IF('Model inputs'!G23="","",'Model inputs'!G23=1))="",FALSE,IF(ISERROR('Model inputs'!G23=1),'Model inputs'!G23=1,IF('Model inputs'!G23="","",'Model inputs'!G23=1))),IF('Model inputs'!AB64="","",'Model inputs'!AB64),IF('Model inputs'!F10="","",'Model inputs'!F10))="",0,IF(IF(IF(ISERROR('Model inputs'!G23=1),'Model inputs'!G23=1,IF('Model inputs'!G23="","",'Model inputs'!G23=1))="",FALSE,IF(ISERROR('Model inputs'!G23=1),'Model inputs'!G23=1,IF('Model inputs'!G23="","",'Model inputs'!G23=1))),IF('Model inputs'!AB64="","",'Model inputs'!AB64),IF('Model inputs'!F10="","",'Model inputs'!F10)))+'Model inputs'!G115-'Model inputs'!C37</f>
        <v>-457.4399999999998</v>
      </c>
      <c r="H10" s="9">
        <f>IF(IF(IF(IF(ISERROR('Model inputs'!H23=1),'Model inputs'!H23=1,IF('Model inputs'!H23="","",'Model inputs'!H23=1))="",FALSE,IF(ISERROR('Model inputs'!H23=1),'Model inputs'!H23=1,IF('Model inputs'!H23="","",'Model inputs'!H23=1))),IF('Model inputs'!AB64="","",'Model inputs'!AB64),IF('Model inputs'!G10="","",'Model inputs'!G10))="",0,IF(IF(IF(ISERROR('Model inputs'!H23=1),'Model inputs'!H23=1,IF('Model inputs'!H23="","",'Model inputs'!H23=1))="",FALSE,IF(ISERROR('Model inputs'!H23=1),'Model inputs'!H23=1,IF('Model inputs'!H23="","",'Model inputs'!H23=1))),IF('Model inputs'!AB64="","",'Model inputs'!AB64),IF('Model inputs'!G10="","",'Model inputs'!G10)))+'Model inputs'!H115-'Model inputs'!C37</f>
        <v>-458.89279999999974</v>
      </c>
      <c r="I10" s="9">
        <f>IF(IF(IF(IF(ISERROR('Model inputs'!I23=1),'Model inputs'!I23=1,IF('Model inputs'!I23="","",'Model inputs'!I23=1))="",FALSE,IF(ISERROR('Model inputs'!I23=1),'Model inputs'!I23=1,IF('Model inputs'!I23="","",'Model inputs'!I23=1))),IF('Model inputs'!AB64="","",'Model inputs'!AB64),IF('Model inputs'!H10="","",'Model inputs'!H10))="",0,IF(IF(IF(ISERROR('Model inputs'!I23=1),'Model inputs'!I23=1,IF('Model inputs'!I23="","",'Model inputs'!I23=1))="",FALSE,IF(ISERROR('Model inputs'!I23=1),'Model inputs'!I23=1,IF('Model inputs'!I23="","",'Model inputs'!I23=1))),IF('Model inputs'!AB64="","",'Model inputs'!AB64),IF('Model inputs'!H10="","",'Model inputs'!H10)))+'Model inputs'!I115-'Model inputs'!C37</f>
        <v>-424.5199359999997</v>
      </c>
      <c r="J10" s="9">
        <f>IF(IF(IF(IF(ISERROR('Model inputs'!J23=1),'Model inputs'!J23=1,IF('Model inputs'!J23="","",'Model inputs'!J23=1))="",FALSE,IF(ISERROR('Model inputs'!J23=1),'Model inputs'!J23=1,IF('Model inputs'!J23="","",'Model inputs'!J23=1))),IF('Model inputs'!AB64="","",'Model inputs'!AB64),IF('Model inputs'!I10="","",'Model inputs'!I10))="",0,IF(IF(IF(ISERROR('Model inputs'!J23=1),'Model inputs'!J23=1,IF('Model inputs'!J23="","",'Model inputs'!J23=1))="",FALSE,IF(ISERROR('Model inputs'!J23=1),'Model inputs'!J23=1,IF('Model inputs'!J23="","",'Model inputs'!J23=1))),IF('Model inputs'!AB64="","",'Model inputs'!AB64),IF('Model inputs'!I10="","",'Model inputs'!I10)))+'Model inputs'!J115-'Model inputs'!C37</f>
        <v>-350.0223283199997</v>
      </c>
      <c r="K10" s="9">
        <f>IF(IF(IF(IF(ISERROR('Model inputs'!K23=1),'Model inputs'!K23=1,IF('Model inputs'!K23="","",'Model inputs'!K23=1))="",FALSE,IF(ISERROR('Model inputs'!K23=1),'Model inputs'!K23=1,IF('Model inputs'!K23="","",'Model inputs'!K23=1))),IF('Model inputs'!AB64="","",'Model inputs'!AB64),IF('Model inputs'!J10="","",'Model inputs'!J10))="",0,IF(IF(IF(ISERROR('Model inputs'!K23=1),'Model inputs'!K23=1,IF('Model inputs'!K23="","",'Model inputs'!K23=1))="",FALSE,IF(ISERROR('Model inputs'!K23=1),'Model inputs'!K23=1,IF('Model inputs'!K23="","",'Model inputs'!K23=1))),IF('Model inputs'!AB64="","",'Model inputs'!AB64),IF('Model inputs'!J10="","",'Model inputs'!J10)))+'Model inputs'!K115-'Model inputs'!C37</f>
        <v>-230.58500771839965</v>
      </c>
      <c r="L10" s="9">
        <f>IF(IF(IF(IF(ISERROR('Model inputs'!L23=1),'Model inputs'!L23=1,IF('Model inputs'!L23="","",'Model inputs'!L23=1))="",FALSE,IF(ISERROR('Model inputs'!L23=1),'Model inputs'!L23=1,IF('Model inputs'!L23="","",'Model inputs'!L23=1))),IF('Model inputs'!AB64="","",'Model inputs'!AB64),IF('Model inputs'!K10="","",'Model inputs'!K10))="",0,IF(IF(IF(ISERROR('Model inputs'!L23=1),'Model inputs'!L23=1,IF('Model inputs'!L23="","",'Model inputs'!L23=1))="",FALSE,IF(ISERROR('Model inputs'!L23=1),'Model inputs'!L23=1,IF('Model inputs'!L23="","",'Model inputs'!L23=1))),IF('Model inputs'!AB64="","",'Model inputs'!AB64),IF('Model inputs'!K10="","",'Model inputs'!K10)))+'Model inputs'!L115-'Model inputs'!C37</f>
        <v>-60.81520864460782</v>
      </c>
      <c r="M10" s="9">
        <f>IF(IF(IF(IF(ISERROR('Model inputs'!M23=1),'Model inputs'!M23=1,IF('Model inputs'!M23="","",'Model inputs'!M23=1))="",FALSE,IF(ISERROR('Model inputs'!M23=1),'Model inputs'!M23=1,IF('Model inputs'!M23="","",'Model inputs'!M23=1))),IF('Model inputs'!AB64="","",'Model inputs'!AB64),IF('Model inputs'!L10="","",'Model inputs'!L10))="",0,IF(IF(IF(ISERROR('Model inputs'!M23=1),'Model inputs'!M23=1,IF('Model inputs'!M23="","",'Model inputs'!M23=1))="",FALSE,IF(ISERROR('Model inputs'!M23=1),'Model inputs'!M23=1,IF('Model inputs'!M23="","",'Model inputs'!M23=1))),IF('Model inputs'!AB64="","",'Model inputs'!AB64),IF('Model inputs'!L10="","",'Model inputs'!L10)))+'Model inputs'!M115-'Model inputs'!C37</f>
        <v>165.32696631803918</v>
      </c>
      <c r="N10" s="9">
        <f>IF(IF(IF(IF(ISERROR('Model inputs'!N23=1),'Model inputs'!N23=1,IF('Model inputs'!N23="","",'Model inputs'!N23=1))="",FALSE,IF(ISERROR('Model inputs'!N23=1),'Model inputs'!N23=1,IF('Model inputs'!N23="","",'Model inputs'!N23=1))),IF('Model inputs'!AB64="","",'Model inputs'!AB64),IF('Model inputs'!M10="","",'Model inputs'!M10))="",0,IF(IF(IF(ISERROR('Model inputs'!N23=1),'Model inputs'!N23=1,IF('Model inputs'!N23="","",'Model inputs'!N23=1))="",FALSE,IF(ISERROR('Model inputs'!N23=1),'Model inputs'!N23=1,IF('Model inputs'!N23="","",'Model inputs'!N23=1))),IF('Model inputs'!AB64="","",'Model inputs'!AB64),IF('Model inputs'!M10="","",'Model inputs'!M10)))+'Model inputs'!N115-'Model inputs'!C37</f>
        <v>454.60620227620365</v>
      </c>
      <c r="O10" s="9">
        <f>IF(IF(IF(IF(ISERROR('Model inputs'!O23=1),'Model inputs'!O23=1,IF('Model inputs'!O23="","",'Model inputs'!O23=1))="",FALSE,IF(ISERROR('Model inputs'!O23=1),'Model inputs'!O23=1,IF('Model inputs'!O23="","",'Model inputs'!O23=1))),IF('Model inputs'!AB64="","",'Model inputs'!AB64),IF('Model inputs'!N10="","",'Model inputs'!N10))="",0,IF(IF(IF(ISERROR('Model inputs'!O23=1),'Model inputs'!O23=1,IF('Model inputs'!O23="","",'Model inputs'!O23=1))="",FALSE,IF(ISERROR('Model inputs'!O23=1),'Model inputs'!O23=1,IF('Model inputs'!O23="","",'Model inputs'!O23=1))),IF('Model inputs'!AB64="","",'Model inputs'!AB64),IF('Model inputs'!N10="","",'Model inputs'!N10)))+'Model inputs'!O115-'Model inputs'!C37</f>
        <v>814.598946549348</v>
      </c>
      <c r="P10" s="9">
        <f>IF(IF(IF(IF(ISERROR('Model inputs'!P23=1),'Model inputs'!P23=1,IF('Model inputs'!P23="","",'Model inputs'!P23=1))="",FALSE,IF(ISERROR('Model inputs'!P23=1),'Model inputs'!P23=1,IF('Model inputs'!P23="","",'Model inputs'!P23=1))),IF('Model inputs'!AB64="","",'Model inputs'!AB64),IF('Model inputs'!O10="","",'Model inputs'!O10))="",0,IF(IF(IF(ISERROR('Model inputs'!P23=1),'Model inputs'!P23=1,IF('Model inputs'!P23="","",'Model inputs'!P23=1))="",FALSE,IF(ISERROR('Model inputs'!P23=1),'Model inputs'!P23=1,IF('Model inputs'!P23="","",'Model inputs'!P23=1))),IF('Model inputs'!AB64="","",'Model inputs'!AB64),IF('Model inputs'!O10="","",'Model inputs'!O10)))+'Model inputs'!P115-'Model inputs'!C37</f>
        <v>1253.7908201352698</v>
      </c>
      <c r="Q10" s="9">
        <f>IF(IF(IF(IF(ISERROR('Model inputs'!Q23=1),'Model inputs'!Q23=1,IF('Model inputs'!Q23="","",'Model inputs'!Q23=1))="",FALSE,IF(ISERROR('Model inputs'!Q23=1),'Model inputs'!Q23=1,IF('Model inputs'!Q23="","",'Model inputs'!Q23=1))),IF('Model inputs'!AB64="","",'Model inputs'!AB64),IF('Model inputs'!P10="","",'Model inputs'!P10))="",0,IF(IF(IF(ISERROR('Model inputs'!Q23=1),'Model inputs'!Q23=1,IF('Model inputs'!Q23="","",'Model inputs'!Q23=1))="",FALSE,IF(ISERROR('Model inputs'!Q23=1),'Model inputs'!Q23=1,IF('Model inputs'!Q23="","",'Model inputs'!Q23=1))),IF('Model inputs'!AB64="","",'Model inputs'!AB64),IF('Model inputs'!P10="","",'Model inputs'!P10)))+'Model inputs'!Q115-'Model inputs'!C37</f>
        <v>1781.6857185515019</v>
      </c>
      <c r="R10" s="9">
        <f>IF(IF(IF(IF(ISERROR('Model inputs'!R23=1),'Model inputs'!R23=1,IF('Model inputs'!R23="","",'Model inputs'!R23=1))="",FALSE,IF(ISERROR('Model inputs'!R23=1),'Model inputs'!R23=1,IF('Model inputs'!R23="","",'Model inputs'!R23=1))),IF('Model inputs'!AB64="","",'Model inputs'!AB64),IF('Model inputs'!Q10="","",'Model inputs'!Q10))="",0,IF(IF(IF(ISERROR('Model inputs'!R23=1),'Model inputs'!R23=1,IF('Model inputs'!R23="","",'Model inputs'!R23=1))="",FALSE,IF(ISERROR('Model inputs'!R23=1),'Model inputs'!R23=1,IF('Model inputs'!R23="","",'Model inputs'!R23=1))),IF('Model inputs'!AB64="","",'Model inputs'!AB64),IF('Model inputs'!Q10="","",'Model inputs'!Q10)))+'Model inputs'!R115-'Model inputs'!C37</f>
        <v>2408.928004777682</v>
      </c>
      <c r="S10" s="9">
        <f>IF(IF(IF(IF(ISERROR('Model inputs'!S23=1),'Model inputs'!S23=1,IF('Model inputs'!S23="","",'Model inputs'!S23=1))="",FALSE,IF(ISERROR('Model inputs'!S23=1),'Model inputs'!S23=1,IF('Model inputs'!S23="","",'Model inputs'!S23=1))),IF('Model inputs'!AB64="","",'Model inputs'!AB64),IF('Model inputs'!R10="","",'Model inputs'!R10))="",0,IF(IF(IF(ISERROR('Model inputs'!S23=1),'Model inputs'!S23=1,IF('Model inputs'!S23="","",'Model inputs'!S23=1))="",FALSE,IF(ISERROR('Model inputs'!S23=1),'Model inputs'!S23=1,IF('Model inputs'!S23="","",'Model inputs'!S23=1))),IF('Model inputs'!AB64="","",'Model inputs'!AB64),IF('Model inputs'!R10="","",'Model inputs'!R10)))+'Model inputs'!S115-'Model inputs'!C37</f>
        <v>3147.4393653510037</v>
      </c>
      <c r="T10" s="9">
        <f>IF(IF(IF(IF(ISERROR('Model inputs'!T23=1),'Model inputs'!T23=1,IF('Model inputs'!T23="","",'Model inputs'!T23=1))="",FALSE,IF(ISERROR('Model inputs'!T23=1),'Model inputs'!T23=1,IF('Model inputs'!T23="","",'Model inputs'!T23=1))),IF('Model inputs'!AB64="","",'Model inputs'!AB64),IF('Model inputs'!S10="","",'Model inputs'!S10))="",0,IF(IF(IF(ISERROR('Model inputs'!T23=1),'Model inputs'!T23=1,IF('Model inputs'!T23="","",'Model inputs'!T23=1))="",FALSE,IF(ISERROR('Model inputs'!T23=1),'Model inputs'!T23=1,IF('Model inputs'!T23="","",'Model inputs'!T23=1))),IF('Model inputs'!AB64="","",'Model inputs'!AB64),IF('Model inputs'!S10="","",'Model inputs'!S10)))+'Model inputs'!T115-'Model inputs'!C37</f>
        <v>4010.572089193124</v>
      </c>
      <c r="U10" s="9">
        <f>IF(IF(IF(IF(ISERROR('Model inputs'!U23=1),'Model inputs'!U23=1,IF('Model inputs'!U23="","",'Model inputs'!U23=1))="",FALSE,IF(ISERROR('Model inputs'!U23=1),'Model inputs'!U23=1,IF('Model inputs'!U23="","",'Model inputs'!U23=1))),IF('Model inputs'!AB64="","",'Model inputs'!AB64),IF('Model inputs'!T10="","",'Model inputs'!T10))="",0,IF(IF(IF(ISERROR('Model inputs'!U23=1),'Model inputs'!U23=1,IF('Model inputs'!U23="","",'Model inputs'!U23=1))="",FALSE,IF(ISERROR('Model inputs'!U23=1),'Model inputs'!U23=1,IF('Model inputs'!U23="","",'Model inputs'!U23=1))),IF('Model inputs'!AB64="","",'Model inputs'!AB64),IF('Model inputs'!T10="","",'Model inputs'!T10)))+'Model inputs'!U115-'Model inputs'!C37</f>
        <v>5013.280739896299</v>
      </c>
      <c r="V10" s="9">
        <f>IF(IF(IF(IF(ISERROR('Model inputs'!V23=1),'Model inputs'!V23=1,IF('Model inputs'!V23="","",'Model inputs'!V23=1))="",FALSE,IF(ISERROR('Model inputs'!V23=1),'Model inputs'!V23=1,IF('Model inputs'!V23="","",'Model inputs'!V23=1))),IF('Model inputs'!AB64="","",'Model inputs'!AB64),IF('Model inputs'!U10="","",'Model inputs'!U10))="",0,IF(IF(IF(ISERROR('Model inputs'!V23=1),'Model inputs'!V23=1,IF('Model inputs'!V23="","",'Model inputs'!V23=1))="",FALSE,IF(ISERROR('Model inputs'!V23=1),'Model inputs'!V23=1,IF('Model inputs'!V23="","",'Model inputs'!V23=1))),IF('Model inputs'!AB64="","",'Model inputs'!AB64),IF('Model inputs'!U10="","",'Model inputs'!U10)))+'Model inputs'!V115-'Model inputs'!C37</f>
        <v>6172.314428683854</v>
      </c>
      <c r="W10" s="9">
        <f>IF(IF(IF(IF(ISERROR('Model inputs'!W23=1),'Model inputs'!W23=1,IF('Model inputs'!W23="","",'Model inputs'!W23=1))="",FALSE,IF(ISERROR('Model inputs'!W23=1),'Model inputs'!W23=1,IF('Model inputs'!W23="","",'Model inputs'!W23=1))),IF('Model inputs'!AB64="","",'Model inputs'!AB64),IF('Model inputs'!V10="","",'Model inputs'!V10))="",0,IF(IF(IF(ISERROR('Model inputs'!W23=1),'Model inputs'!W23=1,IF('Model inputs'!W23="","",'Model inputs'!W23=1))="",FALSE,IF(ISERROR('Model inputs'!W23=1),'Model inputs'!W23=1,IF('Model inputs'!W23="","",'Model inputs'!W23=1))),IF('Model inputs'!AB64="","",'Model inputs'!AB64),IF('Model inputs'!V10="","",'Model inputs'!V10)))+'Model inputs'!W115-'Model inputs'!C37</f>
        <v>7506.432160125917</v>
      </c>
      <c r="X10" s="9">
        <f>IF(IF(IF(IF(ISERROR('Model inputs'!X23=1),'Model inputs'!X23=1,IF('Model inputs'!X23="","",'Model inputs'!X23=1))="",FALSE,IF(ISERROR('Model inputs'!X23=1),'Model inputs'!X23=1,IF('Model inputs'!X23="","",'Model inputs'!X23=1))),IF('Model inputs'!AB64="","",'Model inputs'!AB64),IF('Model inputs'!W10="","",'Model inputs'!W10))="",0,IF(IF(IF(ISERROR('Model inputs'!X23=1),'Model inputs'!X23=1,IF('Model inputs'!X23="","",'Model inputs'!X23=1))="",FALSE,IF(ISERROR('Model inputs'!X23=1),'Model inputs'!X23=1,IF('Model inputs'!X23="","",'Model inputs'!X23=1))),IF('Model inputs'!AB64="","",'Model inputs'!AB64),IF('Model inputs'!W10="","",'Model inputs'!W10)))+'Model inputs'!X115-'Model inputs'!C37</f>
        <v>9036.644019341027</v>
      </c>
      <c r="Y10" s="9">
        <f>IF(IF(IF(IF(ISERROR('Model inputs'!Y23=1),'Model inputs'!Y23=1,IF('Model inputs'!Y23="","",'Model inputs'!Y23=1))="",FALSE,IF(ISERROR('Model inputs'!Y23=1),'Model inputs'!Y23=1,IF('Model inputs'!Y23="","",'Model inputs'!Y23=1))),IF('Model inputs'!AB64="","",'Model inputs'!AB64),IF('Model inputs'!X10="","",'Model inputs'!X10))="",0,IF(IF(IF(ISERROR('Model inputs'!Y23=1),'Model inputs'!Y23=1,IF('Model inputs'!Y23="","",'Model inputs'!Y23=1))="",FALSE,IF(ISERROR('Model inputs'!Y23=1),'Model inputs'!Y23=1,IF('Model inputs'!Y23="","",'Model inputs'!Y23=1))),IF('Model inputs'!AB64="","",'Model inputs'!AB64),IF('Model inputs'!X10="","",'Model inputs'!X10)))+'Model inputs'!Y115-'Model inputs'!C37</f>
        <v>10786.48130166195</v>
      </c>
      <c r="Z10" s="9">
        <f>IF(IF(IF(IF(ISERROR('Model inputs'!Z23=1),'Model inputs'!Z23=1,IF('Model inputs'!Z23="","",'Model inputs'!Z23=1))="",FALSE,IF(ISERROR('Model inputs'!Z23=1),'Model inputs'!Z23=1,IF('Model inputs'!Z23="","",'Model inputs'!Z23=1))),IF('Model inputs'!AB64="","",'Model inputs'!AB64),IF('Model inputs'!Y10="","",'Model inputs'!Y10))="",0,IF(IF(IF(ISERROR('Model inputs'!Z23=1),'Model inputs'!Z23=1,IF('Model inputs'!Z23="","",'Model inputs'!Z23=1))="",FALSE,IF(ISERROR('Model inputs'!Z23=1),'Model inputs'!Z23=1,IF('Model inputs'!Z23="","",'Model inputs'!Z23=1))),IF('Model inputs'!AB64="","",'Model inputs'!AB64),IF('Model inputs'!Y10="","",'Model inputs'!Y10)))+'Model inputs'!Z115-'Model inputs'!C37</f>
        <v>12782.299057861384</v>
      </c>
    </row>
    <row r="11">
      <c r="A11" t="inlineStr" s="18">
        <is>
          <t xml:space="preserve">Cash at stress migration cost</t>
        </is>
      </c>
      <c r="B11" s="9">
        <f>IF(IF(IF(IF(ISERROR('Model inputs'!B23=1),'Model inputs'!B23=1,IF('Model inputs'!B23="","",'Model inputs'!B23=1))="",FALSE,IF(ISERROR('Model inputs'!B23=1),'Model inputs'!B23=1,IF('Model inputs'!B23="","",'Model inputs'!B23=1))),IF('Model inputs'!AB64="","",'Model inputs'!AB64),IF('Model inputs'!Z11="","",'Model inputs'!Z11))="",0,IF(IF(IF(ISERROR('Model inputs'!B23=1),'Model inputs'!B23=1,IF('Model inputs'!B23="","",'Model inputs'!B23=1))="",FALSE,IF(ISERROR('Model inputs'!B23=1),'Model inputs'!B23=1,IF('Model inputs'!B23="","",'Model inputs'!B23=1))),IF('Model inputs'!AB64="","",'Model inputs'!AB64),IF('Model inputs'!Z11="","",'Model inputs'!Z11)))+'Model inputs'!B116-'Model inputs'!C37</f>
        <v>33754.13170514487</v>
      </c>
      <c r="D11" s="9">
        <f>IF(IF(IF(IF(ISERROR('Model inputs'!D23=1),'Model inputs'!D23=1,IF('Model inputs'!D23="","",'Model inputs'!D23=1))="",FALSE,IF(ISERROR('Model inputs'!D23=1),'Model inputs'!D23=1,IF('Model inputs'!D23="","",'Model inputs'!D23=1))),IF('Model inputs'!AB64="","",'Model inputs'!AB64),IF('Model inputs'!AA79="","",'Model inputs'!AA79))="",0,IF(IF(IF(ISERROR('Model inputs'!D23=1),'Model inputs'!D23=1,IF('Model inputs'!D23="","",'Model inputs'!D23=1))="",FALSE,IF(ISERROR('Model inputs'!D23=1),'Model inputs'!D23=1,IF('Model inputs'!D23="","",'Model inputs'!D23=1))),IF('Model inputs'!AB64="","",'Model inputs'!AB64),IF('Model inputs'!AA79="","",'Model inputs'!AA79)))+'Model inputs'!D116-'Model inputs'!C37</f>
        <v>-154</v>
      </c>
      <c r="E11" s="9">
        <f>IF(IF(IF(IF(ISERROR('Model inputs'!E23=1),'Model inputs'!E23=1,IF('Model inputs'!E23="","",'Model inputs'!E23=1))="",FALSE,IF(ISERROR('Model inputs'!E23=1),'Model inputs'!E23=1,IF('Model inputs'!E23="","",'Model inputs'!E23=1))),IF('Model inputs'!AB64="","",'Model inputs'!AB64),IF('Model inputs'!D11="","",'Model inputs'!D11))="",0,IF(IF(IF(ISERROR('Model inputs'!E23=1),'Model inputs'!E23=1,IF('Model inputs'!E23="","",'Model inputs'!E23=1))="",FALSE,IF(ISERROR('Model inputs'!E23=1),'Model inputs'!E23=1,IF('Model inputs'!E23="","",'Model inputs'!E23=1))),IF('Model inputs'!AB64="","",'Model inputs'!AB64),IF('Model inputs'!D11="","",'Model inputs'!D11)))+'Model inputs'!E116-'Model inputs'!C37</f>
        <v>-161.99999999999994</v>
      </c>
      <c r="F11" s="9">
        <f>IF(IF(IF(IF(ISERROR('Model inputs'!F23=1),'Model inputs'!F23=1,IF('Model inputs'!F23="","",'Model inputs'!F23=1))="",FALSE,IF(ISERROR('Model inputs'!F23=1),'Model inputs'!F23=1,IF('Model inputs'!F23="","",'Model inputs'!F23=1))),IF('Model inputs'!AB64="","",'Model inputs'!AB64),IF('Model inputs'!E11="","",'Model inputs'!E11))="",0,IF(IF(IF(ISERROR('Model inputs'!F23=1),'Model inputs'!F23=1,IF('Model inputs'!F23="","",'Model inputs'!F23=1))="",FALSE,IF(ISERROR('Model inputs'!F23=1),'Model inputs'!F23=1,IF('Model inputs'!F23="","",'Model inputs'!F23=1))),IF('Model inputs'!AB64="","",'Model inputs'!AB64),IF('Model inputs'!E11="","",'Model inputs'!E11)))+'Model inputs'!F116-'Model inputs'!C37</f>
        <v>-23.99999999999983</v>
      </c>
      <c r="G11" s="9">
        <f>IF(IF(IF(IF(ISERROR('Model inputs'!G23=1),'Model inputs'!G23=1,IF('Model inputs'!G23="","",'Model inputs'!G23=1))="",FALSE,IF(ISERROR('Model inputs'!G23=1),'Model inputs'!G23=1,IF('Model inputs'!G23="","",'Model inputs'!G23=1))),IF('Model inputs'!AB64="","",'Model inputs'!AB64),IF('Model inputs'!F11="","",'Model inputs'!F11))="",0,IF(IF(IF(ISERROR('Model inputs'!G23=1),'Model inputs'!G23=1,IF('Model inputs'!G23="","",'Model inputs'!G23=1))="",FALSE,IF(ISERROR('Model inputs'!G23=1),'Model inputs'!G23=1,IF('Model inputs'!G23="","",'Model inputs'!G23=1))),IF('Model inputs'!AB64="","",'Model inputs'!AB64),IF('Model inputs'!F11="","",'Model inputs'!F11)))+'Model inputs'!G116-'Model inputs'!C37</f>
        <v>166.56000000000023</v>
      </c>
      <c r="H11" s="9">
        <f>IF(IF(IF(IF(ISERROR('Model inputs'!H23=1),'Model inputs'!H23=1,IF('Model inputs'!H23="","",'Model inputs'!H23=1))="",FALSE,IF(ISERROR('Model inputs'!H23=1),'Model inputs'!H23=1,IF('Model inputs'!H23="","",'Model inputs'!H23=1))),IF('Model inputs'!AB64="","",'Model inputs'!AB64),IF('Model inputs'!G11="","",'Model inputs'!G11))="",0,IF(IF(IF(ISERROR('Model inputs'!H23=1),'Model inputs'!H23=1,IF('Model inputs'!H23="","",'Model inputs'!H23=1))="",FALSE,IF(ISERROR('Model inputs'!H23=1),'Model inputs'!H23=1,IF('Model inputs'!H23="","",'Model inputs'!H23=1))),IF('Model inputs'!AB64="","",'Model inputs'!AB64),IF('Model inputs'!G11="","",'Model inputs'!G11)))+'Model inputs'!H116-'Model inputs'!C37</f>
        <v>415.9872000000003</v>
      </c>
      <c r="I11" s="9">
        <f>IF(IF(IF(IF(ISERROR('Model inputs'!I23=1),'Model inputs'!I23=1,IF('Model inputs'!I23="","",'Model inputs'!I23=1))="",FALSE,IF(ISERROR('Model inputs'!I23=1),'Model inputs'!I23=1,IF('Model inputs'!I23="","",'Model inputs'!I23=1))),IF('Model inputs'!AB64="","",'Model inputs'!AB64),IF('Model inputs'!H11="","",'Model inputs'!H11))="",0,IF(IF(IF(ISERROR('Model inputs'!I23=1),'Model inputs'!I23=1,IF('Model inputs'!I23="","",'Model inputs'!I23=1))="",FALSE,IF(ISERROR('Model inputs'!I23=1),'Model inputs'!I23=1,IF('Model inputs'!I23="","",'Model inputs'!I23=1))),IF('Model inputs'!AB64="","",'Model inputs'!AB64),IF('Model inputs'!H11="","",'Model inputs'!H11)))+'Model inputs'!I116-'Model inputs'!C37</f>
        <v>731.3456640000004</v>
      </c>
      <c r="J11" s="9">
        <f>IF(IF(IF(IF(ISERROR('Model inputs'!J23=1),'Model inputs'!J23=1,IF('Model inputs'!J23="","",'Model inputs'!J23=1))="",FALSE,IF(ISERROR('Model inputs'!J23=1),'Model inputs'!J23=1,IF('Model inputs'!J23="","",'Model inputs'!J23=1))),IF('Model inputs'!AB64="","",'Model inputs'!AB64),IF('Model inputs'!I11="","",'Model inputs'!I11))="",0,IF(IF(IF(ISERROR('Model inputs'!J23=1),'Model inputs'!J23=1,IF('Model inputs'!J23="","",'Model inputs'!J23=1))="",FALSE,IF(ISERROR('Model inputs'!J23=1),'Model inputs'!J23=1,IF('Model inputs'!J23="","",'Model inputs'!J23=1))),IF('Model inputs'!AB64="","",'Model inputs'!AB64),IF('Model inputs'!I11="","",'Model inputs'!I11)))+'Model inputs'!J116-'Model inputs'!C37</f>
        <v>1120.5471436800003</v>
      </c>
      <c r="K11" s="9">
        <f>IF(IF(IF(IF(ISERROR('Model inputs'!K23=1),'Model inputs'!K23=1,IF('Model inputs'!K23="","",'Model inputs'!K23=1))="",FALSE,IF(ISERROR('Model inputs'!K23=1),'Model inputs'!K23=1,IF('Model inputs'!K23="","",'Model inputs'!K23=1))),IF('Model inputs'!AB64="","",'Model inputs'!AB64),IF('Model inputs'!J11="","",'Model inputs'!J11))="",0,IF(IF(IF(ISERROR('Model inputs'!K23=1),'Model inputs'!K23=1,IF('Model inputs'!K23="","",'Model inputs'!K23=1))="",FALSE,IF(ISERROR('Model inputs'!K23=1),'Model inputs'!K23=1,IF('Model inputs'!K23="","",'Model inputs'!K23=1))),IF('Model inputs'!AB64="","",'Model inputs'!AB64),IF('Model inputs'!J11="","",'Model inputs'!J11)))+'Model inputs'!K116-'Model inputs'!C37</f>
        <v>1592.4528009216003</v>
      </c>
      <c r="L11" s="9">
        <f>IF(IF(IF(IF(ISERROR('Model inputs'!L23=1),'Model inputs'!L23=1,IF('Model inputs'!L23="","",'Model inputs'!L23=1))="",FALSE,IF(ISERROR('Model inputs'!L23=1),'Model inputs'!L23=1,IF('Model inputs'!L23="","",'Model inputs'!L23=1))),IF('Model inputs'!AB64="","",'Model inputs'!AB64),IF('Model inputs'!K11="","",'Model inputs'!K11))="",0,IF(IF(IF(ISERROR('Model inputs'!L23=1),'Model inputs'!L23=1,IF('Model inputs'!L23="","",'Model inputs'!L23=1))="",FALSE,IF(ISERROR('Model inputs'!L23=1),'Model inputs'!L23=1,IF('Model inputs'!L23="","",'Model inputs'!L23=1))),IF('Model inputs'!AB64="","",'Model inputs'!AB64),IF('Model inputs'!K11="","",'Model inputs'!K11)))+'Model inputs'!L116-'Model inputs'!C37</f>
        <v>2156.987137032192</v>
      </c>
      <c r="M11" s="9">
        <f>IF(IF(IF(IF(ISERROR('Model inputs'!M23=1),'Model inputs'!M23=1,IF('Model inputs'!M23="","",'Model inputs'!M23=1))="",FALSE,IF(ISERROR('Model inputs'!M23=1),'Model inputs'!M23=1,IF('Model inputs'!M23="","",'Model inputs'!M23=1))),IF('Model inputs'!AB64="","",'Model inputs'!AB64),IF('Model inputs'!L11="","",'Model inputs'!L11))="",0,IF(IF(IF(ISERROR('Model inputs'!M23=1),'Model inputs'!M23=1,IF('Model inputs'!M23="","",'Model inputs'!M23=1))="",FALSE,IF(ISERROR('Model inputs'!M23=1),'Model inputs'!M23=1,IF('Model inputs'!M23="","",'Model inputs'!M23=1))),IF('Model inputs'!AB64="","",'Model inputs'!AB64),IF('Model inputs'!L11="","",'Model inputs'!L11)))+'Model inputs'!M116-'Model inputs'!C37</f>
        <v>2825.265593476055</v>
      </c>
      <c r="N11" s="9">
        <f>IF(IF(IF(IF(ISERROR('Model inputs'!N23=1),'Model inputs'!N23=1,IF('Model inputs'!N23="","",'Model inputs'!N23=1))="",FALSE,IF(ISERROR('Model inputs'!N23=1),'Model inputs'!N23=1,IF('Model inputs'!N23="","",'Model inputs'!N23=1))),IF('Model inputs'!AB64="","",'Model inputs'!AB64),IF('Model inputs'!M11="","",'Model inputs'!M11))="",0,IF(IF(IF(ISERROR('Model inputs'!N23=1),'Model inputs'!N23=1,IF('Model inputs'!N23="","",'Model inputs'!N23=1))="",FALSE,IF(ISERROR('Model inputs'!N23=1),'Model inputs'!N23=1,IF('Model inputs'!N23="","",'Model inputs'!N23=1))),IF('Model inputs'!AB64="","",'Model inputs'!AB64),IF('Model inputs'!M11="","",'Model inputs'!M11)))+'Model inputs'!N116-'Model inputs'!C37</f>
        <v>3609.737464693181</v>
      </c>
      <c r="O11" s="9">
        <f>IF(IF(IF(IF(ISERROR('Model inputs'!O23=1),'Model inputs'!O23=1,IF('Model inputs'!O23="","",'Model inputs'!O23=1))="",FALSE,IF(ISERROR('Model inputs'!O23=1),'Model inputs'!O23=1,IF('Model inputs'!O23="","",'Model inputs'!O23=1))),IF('Model inputs'!AB64="","",'Model inputs'!AB64),IF('Model inputs'!N11="","",'Model inputs'!N11))="",0,IF(IF(IF(ISERROR('Model inputs'!O23=1),'Model inputs'!O23=1,IF('Model inputs'!O23="","",'Model inputs'!O23=1))="",FALSE,IF(ISERROR('Model inputs'!O23=1),'Model inputs'!O23=1,IF('Model inputs'!O23="","",'Model inputs'!O23=1))),IF('Model inputs'!AB64="","",'Model inputs'!AB64),IF('Model inputs'!N11="","",'Model inputs'!N11)))+'Model inputs'!O116-'Model inputs'!C37</f>
        <v>4524.345960456363</v>
      </c>
      <c r="P11" s="9">
        <f>IF(IF(IF(IF(ISERROR('Model inputs'!P23=1),'Model inputs'!P23=1,IF('Model inputs'!P23="","",'Model inputs'!P23=1))="",FALSE,IF(ISERROR('Model inputs'!P23=1),'Model inputs'!P23=1,IF('Model inputs'!P23="","",'Model inputs'!P23=1))),IF('Model inputs'!AB64="","",'Model inputs'!AB64),IF('Model inputs'!O11="","",'Model inputs'!O11))="",0,IF(IF(IF(ISERROR('Model inputs'!P23=1),'Model inputs'!P23=1,IF('Model inputs'!P23="","",'Model inputs'!P23=1))="",FALSE,IF(ISERROR('Model inputs'!P23=1),'Model inputs'!P23=1,IF('Model inputs'!P23="","",'Model inputs'!P23=1))),IF('Model inputs'!AB64="","",'Model inputs'!AB64),IF('Model inputs'!O11="","",'Model inputs'!O11)))+'Model inputs'!P116-'Model inputs'!C37</f>
        <v>5584.707475711127</v>
      </c>
      <c r="Q11" s="9">
        <f>IF(IF(IF(IF(ISERROR('Model inputs'!Q23=1),'Model inputs'!Q23=1,IF('Model inputs'!Q23="","",'Model inputs'!Q23=1))="",FALSE,IF(ISERROR('Model inputs'!Q23=1),'Model inputs'!Q23=1,IF('Model inputs'!Q23="","",'Model inputs'!Q23=1))),IF('Model inputs'!AB64="","",'Model inputs'!AB64),IF('Model inputs'!P11="","",'Model inputs'!P11))="",0,IF(IF(IF(ISERROR('Model inputs'!Q23=1),'Model inputs'!Q23=1,IF('Model inputs'!Q23="","",'Model inputs'!Q23=1))="",FALSE,IF(ISERROR('Model inputs'!Q23=1),'Model inputs'!Q23=1,IF('Model inputs'!Q23="","",'Model inputs'!Q23=1))),IF('Model inputs'!AB64="","",'Model inputs'!AB64),IF('Model inputs'!P11="","",'Model inputs'!P11)))+'Model inputs'!Q116-'Model inputs'!C37</f>
        <v>6808.312372796461</v>
      </c>
      <c r="R11" s="9">
        <f>IF(IF(IF(IF(ISERROR('Model inputs'!R23=1),'Model inputs'!R23=1,IF('Model inputs'!R23="","",'Model inputs'!R23=1))="",FALSE,IF(ISERROR('Model inputs'!R23=1),'Model inputs'!R23=1,IF('Model inputs'!R23="","",'Model inputs'!R23=1))),IF('Model inputs'!AB64="","",'Model inputs'!AB64),IF('Model inputs'!Q11="","",'Model inputs'!Q11))="",0,IF(IF(IF(ISERROR('Model inputs'!R23=1),'Model inputs'!R23=1,IF('Model inputs'!R23="","",'Model inputs'!R23=1))="",FALSE,IF(ISERROR('Model inputs'!R23=1),'Model inputs'!R23=1,IF('Model inputs'!R23="","",'Model inputs'!R23=1))),IF('Model inputs'!AB64="","",'Model inputs'!AB64),IF('Model inputs'!Q11="","",'Model inputs'!Q11)))+'Model inputs'!R116-'Model inputs'!C37</f>
        <v>8214.749857532037</v>
      </c>
      <c r="S11" s="9">
        <f>IF(IF(IF(IF(ISERROR('Model inputs'!S23=1),'Model inputs'!S23=1,IF('Model inputs'!S23="","",'Model inputs'!S23=1))="",FALSE,IF(ISERROR('Model inputs'!S23=1),'Model inputs'!S23=1,IF('Model inputs'!S23="","",'Model inputs'!S23=1))),IF('Model inputs'!AB64="","",'Model inputs'!AB64),IF('Model inputs'!R11="","",'Model inputs'!R11))="",0,IF(IF(IF(ISERROR('Model inputs'!S23=1),'Model inputs'!S23=1,IF('Model inputs'!S23="","",'Model inputs'!S23=1))="",FALSE,IF(ISERROR('Model inputs'!S23=1),'Model inputs'!S23=1,IF('Model inputs'!S23="","",'Model inputs'!S23=1))),IF('Model inputs'!AB64="","",'Model inputs'!AB64),IF('Model inputs'!R11="","",'Model inputs'!R11)))+'Model inputs'!S116-'Model inputs'!C37</f>
        <v>9825.95984043588</v>
      </c>
      <c r="T11" s="9">
        <f>IF(IF(IF(IF(ISERROR('Model inputs'!T23=1),'Model inputs'!T23=1,IF('Model inputs'!T23="","",'Model inputs'!T23=1))="",FALSE,IF(ISERROR('Model inputs'!T23=1),'Model inputs'!T23=1,IF('Model inputs'!T23="","",'Model inputs'!T23=1))),IF('Model inputs'!AB64="","",'Model inputs'!AB64),IF('Model inputs'!S11="","",'Model inputs'!S11))="",0,IF(IF(IF(ISERROR('Model inputs'!T23=1),'Model inputs'!T23=1,IF('Model inputs'!T23="","",'Model inputs'!T23=1))="",FALSE,IF(ISERROR('Model inputs'!T23=1),'Model inputs'!T23=1,IF('Model inputs'!T23="","",'Model inputs'!T23=1))),IF('Model inputs'!AB64="","",'Model inputs'!AB64),IF('Model inputs'!S11="","",'Model inputs'!S11)))+'Model inputs'!T116-'Model inputs'!C37</f>
        <v>11666.515021288185</v>
      </c>
      <c r="U11" s="9">
        <f>IF(IF(IF(IF(ISERROR('Model inputs'!U23=1),'Model inputs'!U23=1,IF('Model inputs'!U23="","",'Model inputs'!U23=1))="",FALSE,IF(ISERROR('Model inputs'!U23=1),'Model inputs'!U23=1,IF('Model inputs'!U23="","",'Model inputs'!U23=1))),IF('Model inputs'!AB64="","",'Model inputs'!AB64),IF('Model inputs'!T11="","",'Model inputs'!T11))="",0,IF(IF(IF(ISERROR('Model inputs'!U23=1),'Model inputs'!U23=1,IF('Model inputs'!U23="","",'Model inputs'!U23=1))="",FALSE,IF(ISERROR('Model inputs'!U23=1),'Model inputs'!U23=1,IF('Model inputs'!U23="","",'Model inputs'!U23=1))),IF('Model inputs'!AB64="","",'Model inputs'!AB64),IF('Model inputs'!T11="","",'Model inputs'!T11)))+'Model inputs'!U116-'Model inputs'!C37</f>
        <v>13763.936823842767</v>
      </c>
      <c r="V11" s="9">
        <f>IF(IF(IF(IF(ISERROR('Model inputs'!V23=1),'Model inputs'!V23=1,IF('Model inputs'!V23="","",'Model inputs'!V23=1))="",FALSE,IF(ISERROR('Model inputs'!V23=1),'Model inputs'!V23=1,IF('Model inputs'!V23="","",'Model inputs'!V23=1))),IF('Model inputs'!AB64="","",'Model inputs'!AB64),IF('Model inputs'!U11="","",'Model inputs'!U11))="",0,IF(IF(IF(ISERROR('Model inputs'!V23=1),'Model inputs'!V23=1,IF('Model inputs'!V23="","",'Model inputs'!V23=1))="",FALSE,IF(ISERROR('Model inputs'!V23=1),'Model inputs'!V23=1,IF('Model inputs'!V23="","",'Model inputs'!V23=1))),IF('Model inputs'!AB64="","",'Model inputs'!AB64),IF('Model inputs'!U11="","",'Model inputs'!U11)))+'Model inputs'!V116-'Model inputs'!C37</f>
        <v>16149.049242703899</v>
      </c>
      <c r="W11" s="9">
        <f>IF(IF(IF(IF(ISERROR('Model inputs'!W23=1),'Model inputs'!W23=1,IF('Model inputs'!W23="","",'Model inputs'!W23=1))="",FALSE,IF(ISERROR('Model inputs'!W23=1),'Model inputs'!W23=1,IF('Model inputs'!W23="","",'Model inputs'!W23=1))),IF('Model inputs'!AB64="","",'Model inputs'!AB64),IF('Model inputs'!V11="","",'Model inputs'!V11))="",0,IF(IF(IF(ISERROR('Model inputs'!W23=1),'Model inputs'!W23=1,IF('Model inputs'!W23="","",'Model inputs'!W23=1))="",FALSE,IF(ISERROR('Model inputs'!W23=1),'Model inputs'!W23=1,IF('Model inputs'!W23="","",'Model inputs'!W23=1))),IF('Model inputs'!AB64="","",'Model inputs'!AB64),IF('Model inputs'!V11="","",'Model inputs'!V11)))+'Model inputs'!W116-'Model inputs'!C37</f>
        <v>18856.375151828368</v>
      </c>
      <c r="X11" s="9">
        <f>IF(IF(IF(IF(ISERROR('Model inputs'!X23=1),'Model inputs'!X23=1,IF('Model inputs'!X23="","",'Model inputs'!X23=1))="",FALSE,IF(ISERROR('Model inputs'!X23=1),'Model inputs'!X23=1,IF('Model inputs'!X23="","",'Model inputs'!X23=1))),IF('Model inputs'!AB64="","",'Model inputs'!AB64),IF('Model inputs'!W11="","",'Model inputs'!W11))="",0,IF(IF(IF(ISERROR('Model inputs'!X23=1),'Model inputs'!X23=1,IF('Model inputs'!X23="","",'Model inputs'!X23=1))="",FALSE,IF(ISERROR('Model inputs'!X23=1),'Model inputs'!X23=1,IF('Model inputs'!X23="","",'Model inputs'!X23=1))),IF('Model inputs'!AB64="","",'Model inputs'!AB64),IF('Model inputs'!W11="","",'Model inputs'!W11)))+'Model inputs'!X116-'Model inputs'!C37</f>
        <v>21924.58017004777</v>
      </c>
      <c r="Y11" s="9">
        <f>IF(IF(IF(IF(ISERROR('Model inputs'!Y23=1),'Model inputs'!Y23=1,IF('Model inputs'!Y23="","",'Model inputs'!Y23=1))="",FALSE,IF(ISERROR('Model inputs'!Y23=1),'Model inputs'!Y23=1,IF('Model inputs'!Y23="","",'Model inputs'!Y23=1))),IF('Model inputs'!AB64="","",'Model inputs'!AB64),IF('Model inputs'!X11="","",'Model inputs'!X11))="",0,IF(IF(IF(ISERROR('Model inputs'!Y23=1),'Model inputs'!Y23=1,IF('Model inputs'!Y23="","",'Model inputs'!Y23=1))="",FALSE,IF(ISERROR('Model inputs'!Y23=1),'Model inputs'!Y23=1,IF('Model inputs'!Y23="","",'Model inputs'!Y23=1))),IF('Model inputs'!AB64="","",'Model inputs'!AB64),IF('Model inputs'!X11="","",'Model inputs'!X11)))+'Model inputs'!Y116-'Model inputs'!C37</f>
        <v>25396.969790453502</v>
      </c>
      <c r="Z11" s="9">
        <f>IF(IF(IF(IF(ISERROR('Model inputs'!Z23=1),'Model inputs'!Z23=1,IF('Model inputs'!Z23="","",'Model inputs'!Z23=1))="",FALSE,IF(ISERROR('Model inputs'!Z23=1),'Model inputs'!Z23=1,IF('Model inputs'!Z23="","",'Model inputs'!Z23=1))),IF('Model inputs'!AB64="","",'Model inputs'!AB64),IF('Model inputs'!Y11="","",'Model inputs'!Y11))="",0,IF(IF(IF(ISERROR('Model inputs'!Z23=1),'Model inputs'!Z23=1,IF('Model inputs'!Z23="","",'Model inputs'!Z23=1))="",FALSE,IF(ISERROR('Model inputs'!Z23=1),'Model inputs'!Z23=1,IF('Model inputs'!Z23="","",'Model inputs'!Z23=1))),IF('Model inputs'!AB64="","",'Model inputs'!AB64),IF('Model inputs'!Y11="","",'Model inputs'!Y11)))+'Model inputs'!Z116-'Model inputs'!C37</f>
        <v>29322.046165307922</v>
      </c>
    </row>
    <row r="12">
      <c r="A12" t="inlineStr" s="18">
        <is>
          <t xml:space="preserve">Cash at stress price</t>
        </is>
      </c>
      <c r="B12" s="9">
        <f>IF(IF(IF(IF(ISERROR('Model inputs'!B23=1),'Model inputs'!B23=1,IF('Model inputs'!B23="","",'Model inputs'!B23=1))="",FALSE,IF(ISERROR('Model inputs'!B23=1),'Model inputs'!B23=1,IF('Model inputs'!B23="","",'Model inputs'!B23=1))),IF('Model inputs'!AB64="","",'Model inputs'!AB64),IF('Model inputs'!Z12="","",'Model inputs'!Z12))="",0,IF(IF(IF(ISERROR('Model inputs'!B23=1),'Model inputs'!B23=1,IF('Model inputs'!B23="","",'Model inputs'!B23=1))="",FALSE,IF(ISERROR('Model inputs'!B23=1),'Model inputs'!B23=1,IF('Model inputs'!B23="","",'Model inputs'!B23=1))),IF('Model inputs'!AB64="","",'Model inputs'!AB64),IF('Model inputs'!Z12="","",'Model inputs'!Z12)))+'Model inputs'!B117-'Model inputs'!C37</f>
        <v>17858.69245885577</v>
      </c>
      <c r="D12" s="9">
        <f>IF(IF(IF(IF(ISERROR('Model inputs'!D23=1),'Model inputs'!D23=1,IF('Model inputs'!D23="","",'Model inputs'!D23=1))="",FALSE,IF(ISERROR('Model inputs'!D23=1),'Model inputs'!D23=1,IF('Model inputs'!D23="","",'Model inputs'!D23=1))),IF('Model inputs'!AB64="","",'Model inputs'!AB64),IF('Model inputs'!AA80="","",'Model inputs'!AA80))="",0,IF(IF(IF(ISERROR('Model inputs'!D23=1),'Model inputs'!D23=1,IF('Model inputs'!D23="","",'Model inputs'!D23=1))="",FALSE,IF(ISERROR('Model inputs'!D23=1),'Model inputs'!D23=1,IF('Model inputs'!D23="","",'Model inputs'!D23=1))),IF('Model inputs'!AB64="","",'Model inputs'!AB64),IF('Model inputs'!AA80="","",'Model inputs'!AA80)))+'Model inputs'!D117-'Model inputs'!C37</f>
        <v>-210.66666666666666</v>
      </c>
      <c r="E12" s="9">
        <f>IF(IF(IF(IF(ISERROR('Model inputs'!E23=1),'Model inputs'!E23=1,IF('Model inputs'!E23="","",'Model inputs'!E23=1))="",FALSE,IF(ISERROR('Model inputs'!E23=1),'Model inputs'!E23=1,IF('Model inputs'!E23="","",'Model inputs'!E23=1))),IF('Model inputs'!AB64="","",'Model inputs'!AB64),IF('Model inputs'!D12="","",'Model inputs'!D12))="",0,IF(IF(IF(ISERROR('Model inputs'!E23=1),'Model inputs'!E23=1,IF('Model inputs'!E23="","",'Model inputs'!E23=1))="",FALSE,IF(ISERROR('Model inputs'!E23=1),'Model inputs'!E23=1,IF('Model inputs'!E23="","",'Model inputs'!E23=1))),IF('Model inputs'!AB64="","",'Model inputs'!AB64),IF('Model inputs'!D12="","",'Model inputs'!D12)))+'Model inputs'!E117-'Model inputs'!C37</f>
        <v>-331.99999999999994</v>
      </c>
      <c r="F12" s="9">
        <f>IF(IF(IF(IF(ISERROR('Model inputs'!F23=1),'Model inputs'!F23=1,IF('Model inputs'!F23="","",'Model inputs'!F23=1))="",FALSE,IF(ISERROR('Model inputs'!F23=1),'Model inputs'!F23=1,IF('Model inputs'!F23="","",'Model inputs'!F23=1))),IF('Model inputs'!AB64="","",'Model inputs'!AB64),IF('Model inputs'!E12="","",'Model inputs'!E12))="",0,IF(IF(IF(ISERROR('Model inputs'!F23=1),'Model inputs'!F23=1,IF('Model inputs'!F23="","",'Model inputs'!F23=1))="",FALSE,IF(ISERROR('Model inputs'!F23=1),'Model inputs'!F23=1,IF('Model inputs'!F23="","",'Model inputs'!F23=1))),IF('Model inputs'!AB64="","",'Model inputs'!AB64),IF('Model inputs'!E12="","",'Model inputs'!E12)))+'Model inputs'!F117-'Model inputs'!C37</f>
        <v>-363.99999999999983</v>
      </c>
      <c r="G12" s="9">
        <f>IF(IF(IF(IF(ISERROR('Model inputs'!G23=1),'Model inputs'!G23=1,IF('Model inputs'!G23="","",'Model inputs'!G23=1))="",FALSE,IF(ISERROR('Model inputs'!G23=1),'Model inputs'!G23=1,IF('Model inputs'!G23="","",'Model inputs'!G23=1))),IF('Model inputs'!AB64="","",'Model inputs'!AB64),IF('Model inputs'!F12="","",'Model inputs'!F12))="",0,IF(IF(IF(ISERROR('Model inputs'!G23=1),'Model inputs'!G23=1,IF('Model inputs'!G23="","",'Model inputs'!G23=1))="",FALSE,IF(ISERROR('Model inputs'!G23=1),'Model inputs'!G23=1,IF('Model inputs'!G23="","",'Model inputs'!G23=1))),IF('Model inputs'!AB64="","",'Model inputs'!AB64),IF('Model inputs'!F12="","",'Model inputs'!F12)))+'Model inputs'!G117-'Model inputs'!C37</f>
        <v>-363.83999999999975</v>
      </c>
      <c r="H12" s="9">
        <f>IF(IF(IF(IF(ISERROR('Model inputs'!H23=1),'Model inputs'!H23=1,IF('Model inputs'!H23="","",'Model inputs'!H23=1))="",FALSE,IF(ISERROR('Model inputs'!H23=1),'Model inputs'!H23=1,IF('Model inputs'!H23="","",'Model inputs'!H23=1))),IF('Model inputs'!AB64="","",'Model inputs'!AB64),IF('Model inputs'!G12="","",'Model inputs'!G12))="",0,IF(IF(IF(ISERROR('Model inputs'!H23=1),'Model inputs'!H23=1,IF('Model inputs'!H23="","",'Model inputs'!H23=1))="",FALSE,IF(ISERROR('Model inputs'!H23=1),'Model inputs'!H23=1,IF('Model inputs'!H23="","",'Model inputs'!H23=1))),IF('Model inputs'!AB64="","",'Model inputs'!AB64),IF('Model inputs'!G12="","",'Model inputs'!G12)))+'Model inputs'!H117-'Model inputs'!C37</f>
        <v>-327.66079999999965</v>
      </c>
      <c r="I12" s="9">
        <f>IF(IF(IF(IF(ISERROR('Model inputs'!I23=1),'Model inputs'!I23=1,IF('Model inputs'!I23="","",'Model inputs'!I23=1))="",FALSE,IF(ISERROR('Model inputs'!I23=1),'Model inputs'!I23=1,IF('Model inputs'!I23="","",'Model inputs'!I23=1))),IF('Model inputs'!AB64="","",'Model inputs'!AB64),IF('Model inputs'!H12="","",'Model inputs'!H12))="",0,IF(IF(IF(ISERROR('Model inputs'!I23=1),'Model inputs'!I23=1,IF('Model inputs'!I23="","",'Model inputs'!I23=1))="",FALSE,IF(ISERROR('Model inputs'!I23=1),'Model inputs'!I23=1,IF('Model inputs'!I23="","",'Model inputs'!I23=1))),IF('Model inputs'!AB64="","",'Model inputs'!AB64),IF('Model inputs'!H12="","",'Model inputs'!H12)))+'Model inputs'!I117-'Model inputs'!C37</f>
        <v>-251.14009599999957</v>
      </c>
      <c r="J12" s="9">
        <f>IF(IF(IF(IF(ISERROR('Model inputs'!J23=1),'Model inputs'!J23=1,IF('Model inputs'!J23="","",'Model inputs'!J23=1))="",FALSE,IF(ISERROR('Model inputs'!J23=1),'Model inputs'!J23=1,IF('Model inputs'!J23="","",'Model inputs'!J23=1))),IF('Model inputs'!AB64="","",'Model inputs'!AB64),IF('Model inputs'!I12="","",'Model inputs'!I12))="",0,IF(IF(IF(ISERROR('Model inputs'!J23=1),'Model inputs'!J23=1,IF('Model inputs'!J23="","",'Model inputs'!J23=1))="",FALSE,IF(ISERROR('Model inputs'!J23=1),'Model inputs'!J23=1,IF('Model inputs'!J23="","",'Model inputs'!J23=1))),IF('Model inputs'!AB64="","",'Model inputs'!AB64),IF('Model inputs'!I12="","",'Model inputs'!I12)))+'Model inputs'!J117-'Model inputs'!C37</f>
        <v>-129.43690751999958</v>
      </c>
      <c r="K12" s="9">
        <f>IF(IF(IF(IF(ISERROR('Model inputs'!K23=1),'Model inputs'!K23=1,IF('Model inputs'!K23="","",'Model inputs'!K23=1))="",FALSE,IF(ISERROR('Model inputs'!K23=1),'Model inputs'!K23=1,IF('Model inputs'!K23="","",'Model inputs'!K23=1))),IF('Model inputs'!AB64="","",'Model inputs'!AB64),IF('Model inputs'!J12="","",'Model inputs'!J12))="",0,IF(IF(IF(ISERROR('Model inputs'!K23=1),'Model inputs'!K23=1,IF('Model inputs'!K23="","",'Model inputs'!K23=1))="",FALSE,IF(ISERROR('Model inputs'!K23=1),'Model inputs'!K23=1,IF('Model inputs'!K23="","",'Model inputs'!K23=1))),IF('Model inputs'!AB64="","",'Model inputs'!AB64),IF('Model inputs'!J12="","",'Model inputs'!J12)))+'Model inputs'!K117-'Model inputs'!C37</f>
        <v>42.87066357760045</v>
      </c>
      <c r="L12" s="9">
        <f>IF(IF(IF(IF(ISERROR('Model inputs'!L23=1),'Model inputs'!L23=1,IF('Model inputs'!L23="","",'Model inputs'!L23=1))="",FALSE,IF(ISERROR('Model inputs'!L23=1),'Model inputs'!L23=1,IF('Model inputs'!L23="","",'Model inputs'!L23=1))),IF('Model inputs'!AB64="","",'Model inputs'!AB64),IF('Model inputs'!K12="","",'Model inputs'!K12))="",0,IF(IF(IF(ISERROR('Model inputs'!L23=1),'Model inputs'!L23=1,IF('Model inputs'!L23="","",'Model inputs'!L23=1))="",FALSE,IF(ISERROR('Model inputs'!L23=1),'Model inputs'!L23=1,IF('Model inputs'!L23="","",'Model inputs'!L23=1))),IF('Model inputs'!AB64="","",'Model inputs'!AB64),IF('Model inputs'!K12="","",'Model inputs'!K12)))+'Model inputs'!L117-'Model inputs'!C37</f>
        <v>271.8551432069123</v>
      </c>
      <c r="M12" s="9">
        <f>IF(IF(IF(IF(ISERROR('Model inputs'!M23=1),'Model inputs'!M23=1,IF('Model inputs'!M23="","",'Model inputs'!M23=1))="",FALSE,IF(ISERROR('Model inputs'!M23=1),'Model inputs'!M23=1,IF('Model inputs'!M23="","",'Model inputs'!M23=1))),IF('Model inputs'!AB64="","",'Model inputs'!AB64),IF('Model inputs'!L12="","",'Model inputs'!L12))="",0,IF(IF(IF(ISERROR('Model inputs'!M23=1),'Model inputs'!M23=1,IF('Model inputs'!M23="","",'Model inputs'!M23=1))="",FALSE,IF(ISERROR('Model inputs'!M23=1),'Model inputs'!M23=1,IF('Model inputs'!M23="","",'Model inputs'!M23=1))),IF('Model inputs'!AB64="","",'Model inputs'!AB64),IF('Model inputs'!L12="","",'Model inputs'!L12)))+'Model inputs'!M117-'Model inputs'!C37</f>
        <v>564.3177603917417</v>
      </c>
      <c r="N12" s="9">
        <f>IF(IF(IF(IF(ISERROR('Model inputs'!N23=1),'Model inputs'!N23=1,IF('Model inputs'!N23="","",'Model inputs'!N23=1))="",FALSE,IF(ISERROR('Model inputs'!N23=1),'Model inputs'!N23=1,IF('Model inputs'!N23="","",'Model inputs'!N23=1))),IF('Model inputs'!AB64="","",'Model inputs'!AB64),IF('Model inputs'!M12="","",'Model inputs'!M12))="",0,IF(IF(IF(ISERROR('Model inputs'!N23=1),'Model inputs'!N23=1,IF('Model inputs'!N23="","",'Model inputs'!N23=1))="",FALSE,IF(ISERROR('Model inputs'!N23=1),'Model inputs'!N23=1,IF('Model inputs'!N23="","",'Model inputs'!N23=1))),IF('Model inputs'!AB64="","",'Model inputs'!AB64),IF('Model inputs'!M12="","",'Model inputs'!M12)))+'Model inputs'!N117-'Model inputs'!C37</f>
        <v>927.8758916387504</v>
      </c>
      <c r="O12" s="9">
        <f>IF(IF(IF(IF(ISERROR('Model inputs'!O23=1),'Model inputs'!O23=1,IF('Model inputs'!O23="","",'Model inputs'!O23=1))="",FALSE,IF(ISERROR('Model inputs'!O23=1),'Model inputs'!O23=1,IF('Model inputs'!O23="","",'Model inputs'!O23=1))),IF('Model inputs'!AB64="","",'Model inputs'!AB64),IF('Model inputs'!N12="","",'Model inputs'!N12))="",0,IF(IF(IF(ISERROR('Model inputs'!O23=1),'Model inputs'!O23=1,IF('Model inputs'!O23="","",'Model inputs'!O23=1))="",FALSE,IF(ISERROR('Model inputs'!O23=1),'Model inputs'!O23=1,IF('Model inputs'!O23="","",'Model inputs'!O23=1))),IF('Model inputs'!AB64="","",'Model inputs'!AB64),IF('Model inputs'!N12="","",'Model inputs'!N12)))+'Model inputs'!O117-'Model inputs'!C37</f>
        <v>1371.0609986354004</v>
      </c>
      <c r="P12" s="9">
        <f>IF(IF(IF(IF(ISERROR('Model inputs'!P23=1),'Model inputs'!P23=1,IF('Model inputs'!P23="","",'Model inputs'!P23=1))="",FALSE,IF(ISERROR('Model inputs'!P23=1),'Model inputs'!P23=1,IF('Model inputs'!P23="","",'Model inputs'!P23=1))),IF('Model inputs'!AB64="","",'Model inputs'!AB64),IF('Model inputs'!O12="","",'Model inputs'!O12))="",0,IF(IF(IF(ISERROR('Model inputs'!P23=1),'Model inputs'!P23=1,IF('Model inputs'!P23="","",'Model inputs'!P23=1))="",FALSE,IF(ISERROR('Model inputs'!P23=1),'Model inputs'!P23=1,IF('Model inputs'!P23="","",'Model inputs'!P23=1))),IF('Model inputs'!AB64="","",'Model inputs'!AB64),IF('Model inputs'!O12="","",'Model inputs'!O12)))+'Model inputs'!P117-'Model inputs'!C37</f>
        <v>1903.4283184716485</v>
      </c>
      <c r="Q12" s="9">
        <f>IF(IF(IF(IF(ISERROR('Model inputs'!Q23=1),'Model inputs'!Q23=1,IF('Model inputs'!Q23="","",'Model inputs'!Q23=1))="",FALSE,IF(ISERROR('Model inputs'!Q23=1),'Model inputs'!Q23=1,IF('Model inputs'!Q23="","",'Model inputs'!Q23=1))),IF('Model inputs'!AB64="","",'Model inputs'!AB64),IF('Model inputs'!P12="","",'Model inputs'!P12))="",0,IF(IF(IF(ISERROR('Model inputs'!Q23=1),'Model inputs'!Q23=1,IF('Model inputs'!Q23="","",'Model inputs'!Q23=1))="",FALSE,IF(ISERROR('Model inputs'!Q23=1),'Model inputs'!Q23=1,IF('Model inputs'!Q23="","",'Model inputs'!Q23=1))),IF('Model inputs'!AB64="","",'Model inputs'!AB64),IF('Model inputs'!P12="","",'Model inputs'!P12)))+'Model inputs'!Q117-'Model inputs'!C37</f>
        <v>2535.679716688246</v>
      </c>
      <c r="R12" s="9">
        <f>IF(IF(IF(IF(ISERROR('Model inputs'!R23=1),'Model inputs'!R23=1,IF('Model inputs'!R23="","",'Model inputs'!R23=1))="",FALSE,IF(ISERROR('Model inputs'!R23=1),'Model inputs'!R23=1,IF('Model inputs'!R23="","",'Model inputs'!R23=1))),IF('Model inputs'!AB64="","",'Model inputs'!AB64),IF('Model inputs'!Q12="","",'Model inputs'!Q12))="",0,IF(IF(IF(ISERROR('Model inputs'!R23=1),'Model inputs'!R23=1,IF('Model inputs'!R23="","",'Model inputs'!R23=1))="",FALSE,IF(ISERROR('Model inputs'!R23=1),'Model inputs'!R23=1,IF('Model inputs'!R23="","",'Model inputs'!R23=1))),IF('Model inputs'!AB64="","",'Model inputs'!AB64),IF('Model inputs'!Q12="","",'Model inputs'!Q12)))+'Model inputs'!R117-'Model inputs'!C37</f>
        <v>3279.8012826908353</v>
      </c>
      <c r="S12" s="9">
        <f>IF(IF(IF(IF(ISERROR('Model inputs'!S23=1),'Model inputs'!S23=1,IF('Model inputs'!S23="","",'Model inputs'!S23=1))="",FALSE,IF(ISERROR('Model inputs'!S23=1),'Model inputs'!S23=1,IF('Model inputs'!S23="","",'Model inputs'!S23=1))),IF('Model inputs'!AB64="","",'Model inputs'!AB64),IF('Model inputs'!R12="","",'Model inputs'!R12))="",0,IF(IF(IF(ISERROR('Model inputs'!S23=1),'Model inputs'!S23=1,IF('Model inputs'!S23="","",'Model inputs'!S23=1))="",FALSE,IF(ISERROR('Model inputs'!S23=1),'Model inputs'!S23=1,IF('Model inputs'!S23="","",'Model inputs'!S23=1))),IF('Model inputs'!AB64="","",'Model inputs'!AB64),IF('Model inputs'!R12="","",'Model inputs'!R12)))+'Model inputs'!S117-'Model inputs'!C37</f>
        <v>4149.217436613735</v>
      </c>
      <c r="T12" s="9">
        <f>IF(IF(IF(IF(ISERROR('Model inputs'!T23=1),'Model inputs'!T23=1,IF('Model inputs'!T23="","",'Model inputs'!T23=1))="",FALSE,IF(ISERROR('Model inputs'!T23=1),'Model inputs'!T23=1,IF('Model inputs'!T23="","",'Model inputs'!T23=1))),IF('Model inputs'!AB64="","",'Model inputs'!AB64),IF('Model inputs'!S12="","",'Model inputs'!S12))="",0,IF(IF(IF(ISERROR('Model inputs'!T23=1),'Model inputs'!T23=1,IF('Model inputs'!T23="","",'Model inputs'!T23=1))="",FALSE,IF(ISERROR('Model inputs'!T23=1),'Model inputs'!T23=1,IF('Model inputs'!T23="","",'Model inputs'!T23=1))),IF('Model inputs'!AB64="","",'Model inputs'!AB64),IF('Model inputs'!S12="","",'Model inputs'!S12)))+'Model inputs'!T117-'Model inputs'!C37</f>
        <v>5158.963529007384</v>
      </c>
      <c r="U12" s="9">
        <f>IF(IF(IF(IF(ISERROR('Model inputs'!U23=1),'Model inputs'!U23=1,IF('Model inputs'!U23="","",'Model inputs'!U23=1))="",FALSE,IF(ISERROR('Model inputs'!U23=1),'Model inputs'!U23=1,IF('Model inputs'!U23="","",'Model inputs'!U23=1))),IF('Model inputs'!AB64="","",'Model inputs'!AB64),IF('Model inputs'!T12="","",'Model inputs'!T12))="",0,IF(IF(IF(ISERROR('Model inputs'!U23=1),'Model inputs'!U23=1,IF('Model inputs'!U23="","",'Model inputs'!U23=1))="",FALSE,IF(ISERROR('Model inputs'!U23=1),'Model inputs'!U23=1,IF('Model inputs'!U23="","",'Model inputs'!U23=1))),IF('Model inputs'!AB64="","",'Model inputs'!AB64),IF('Model inputs'!T12="","",'Model inputs'!T12)))+'Model inputs'!U117-'Model inputs'!C37</f>
        <v>6325.879152488269</v>
      </c>
      <c r="V12" s="9">
        <f>IF(IF(IF(IF(ISERROR('Model inputs'!V23=1),'Model inputs'!V23=1,IF('Model inputs'!V23="","",'Model inputs'!V23=1))="",FALSE,IF(ISERROR('Model inputs'!V23=1),'Model inputs'!V23=1,IF('Model inputs'!V23="","",'Model inputs'!V23=1))),IF('Model inputs'!AB64="","",'Model inputs'!AB64),IF('Model inputs'!U12="","",'Model inputs'!U12))="",0,IF(IF(IF(ISERROR('Model inputs'!V23=1),'Model inputs'!V23=1,IF('Model inputs'!V23="","",'Model inputs'!V23=1))="",FALSE,IF(ISERROR('Model inputs'!V23=1),'Model inputs'!V23=1,IF('Model inputs'!V23="","",'Model inputs'!V23=1))),IF('Model inputs'!AB64="","",'Model inputs'!AB64),IF('Model inputs'!U12="","",'Model inputs'!U12)))+'Model inputs'!V117-'Model inputs'!C37</f>
        <v>7668.824650786861</v>
      </c>
      <c r="W12" s="9">
        <f>IF(IF(IF(IF(ISERROR('Model inputs'!W23=1),'Model inputs'!W23=1,IF('Model inputs'!W23="","",'Model inputs'!W23=1))="",FALSE,IF(ISERROR('Model inputs'!W23=1),'Model inputs'!W23=1,IF('Model inputs'!W23="","",'Model inputs'!W23=1))),IF('Model inputs'!AB64="","",'Model inputs'!AB64),IF('Model inputs'!V12="","",'Model inputs'!V12))="",0,IF(IF(IF(ISERROR('Model inputs'!W23=1),'Model inputs'!W23=1,IF('Model inputs'!W23="","",'Model inputs'!W23=1))="",FALSE,IF(ISERROR('Model inputs'!W23=1),'Model inputs'!W23=1,IF('Model inputs'!W23="","",'Model inputs'!W23=1))),IF('Model inputs'!AB64="","",'Model inputs'!AB64),IF('Model inputs'!V12="","",'Model inputs'!V12)))+'Model inputs'!W117-'Model inputs'!C37</f>
        <v>9208.923608881285</v>
      </c>
      <c r="X12" s="9">
        <f>IF(IF(IF(IF(ISERROR('Model inputs'!X23=1),'Model inputs'!X23=1,IF('Model inputs'!X23="","",'Model inputs'!X23=1))="",FALSE,IF(ISERROR('Model inputs'!X23=1),'Model inputs'!X23=1,IF('Model inputs'!X23="","",'Model inputs'!X23=1))),IF('Model inputs'!AB64="","",'Model inputs'!AB64),IF('Model inputs'!W12="","",'Model inputs'!W12))="",0,IF(IF(IF(ISERROR('Model inputs'!X23=1),'Model inputs'!X23=1,IF('Model inputs'!X23="","",'Model inputs'!X23=1))="",FALSE,IF(ISERROR('Model inputs'!X23=1),'Model inputs'!X23=1,IF('Model inputs'!X23="","",'Model inputs'!X23=1))),IF('Model inputs'!AB64="","",'Model inputs'!AB64),IF('Model inputs'!W12="","",'Model inputs'!W12)))+'Model inputs'!X117-'Model inputs'!C37</f>
        <v>10969.834441947038</v>
      </c>
      <c r="Y12" s="9">
        <f>IF(IF(IF(IF(ISERROR('Model inputs'!Y23=1),'Model inputs'!Y23=1,IF('Model inputs'!Y23="","",'Model inputs'!Y23=1))="",FALSE,IF(ISERROR('Model inputs'!Y23=1),'Model inputs'!Y23=1,IF('Model inputs'!Y23="","",'Model inputs'!Y23=1))),IF('Model inputs'!AB64="","",'Model inputs'!AB64),IF('Model inputs'!X12="","",'Model inputs'!X12))="",0,IF(IF(IF(ISERROR('Model inputs'!Y23=1),'Model inputs'!Y23=1,IF('Model inputs'!Y23="","",'Model inputs'!Y23=1))="",FALSE,IF(ISERROR('Model inputs'!Y23=1),'Model inputs'!Y23=1,IF('Model inputs'!Y23="","",'Model inputs'!Y23=1))),IF('Model inputs'!AB64="","",'Model inputs'!AB64),IF('Model inputs'!X12="","",'Model inputs'!X12)))+'Model inputs'!Y117-'Model inputs'!C37</f>
        <v>12978.054574980682</v>
      </c>
      <c r="Z12" s="9">
        <f>IF(IF(IF(IF(ISERROR('Model inputs'!Z23=1),'Model inputs'!Z23=1,IF('Model inputs'!Z23="","",'Model inputs'!Z23=1))="",FALSE,IF(ISERROR('Model inputs'!Z23=1),'Model inputs'!Z23=1,IF('Model inputs'!Z23="","",'Model inputs'!Z23=1))),IF('Model inputs'!AB64="","",'Model inputs'!AB64),IF('Model inputs'!Y12="","",'Model inputs'!Y12))="",0,IF(IF(IF(ISERROR('Model inputs'!Z23=1),'Model inputs'!Z23=1,IF('Model inputs'!Z23="","",'Model inputs'!Z23=1))="",FALSE,IF(ISERROR('Model inputs'!Z23=1),'Model inputs'!Z23=1,IF('Model inputs'!Z23="","",'Model inputs'!Z23=1))),IF('Model inputs'!AB64="","",'Model inputs'!AB64),IF('Model inputs'!Y12="","",'Model inputs'!Y12)))+'Model inputs'!Z117-'Model inputs'!C37</f>
        <v>15263.261123978366</v>
      </c>
    </row>
    <row r="13">
      <c r="A13" t="inlineStr" s="18">
        <is>
          <t xml:space="preserve">Cash break-even marker</t>
        </is>
      </c>
      <c r="B13" s="8">
        <f>IF(IF(IF(ISERROR('Model inputs'!B42&gt;=0),'Model inputs'!B42&gt;=0,IF('Model inputs'!B42="","",'Model inputs'!B42&gt;=0))="",FALSE,IF(ISERROR('Model inputs'!B42&gt;=0),'Model inputs'!B42&gt;=0,IF('Model inputs'!B42="","",'Model inputs'!B42&gt;=0))),DATE(2028,9,1),"")</f>
        <v>46997</v>
      </c>
      <c r="D13" t="str" s="10">
        <f>IF(IF(IF(ISERROR('Model inputs'!D42&gt;=0),'Model inputs'!D42&gt;=0,IF('Model inputs'!D42="","",'Model inputs'!D42&gt;=0))="",FALSE,IF(ISERROR('Model inputs'!D42&gt;=0),'Model inputs'!D42&gt;=0,IF('Model inputs'!D42="","",'Model inputs'!D42&gt;=0))),DATE(2026,10,1),"")</f>
        <v/>
      </c>
      <c r="E13" s="8">
        <f>IF(IF(IF(ISERROR('Model inputs'!E42&gt;=0),'Model inputs'!E42&gt;=0,IF('Model inputs'!E42="","",'Model inputs'!E42&gt;=0))="",FALSE,IF(ISERROR('Model inputs'!E42&gt;=0),'Model inputs'!E42&gt;=0,IF('Model inputs'!E42="","",'Model inputs'!E42&gt;=0))),DATE(2026,11,1),"")</f>
        <v>46327</v>
      </c>
      <c r="F13" s="8">
        <f>IF(IF(IF(ISERROR('Model inputs'!F42&gt;=0),'Model inputs'!F42&gt;=0,IF('Model inputs'!F42="","",'Model inputs'!F42&gt;=0))="",FALSE,IF(ISERROR('Model inputs'!F42&gt;=0),'Model inputs'!F42&gt;=0,IF('Model inputs'!F42="","",'Model inputs'!F42&gt;=0))),DATE(2026,12,1),"")</f>
        <v>46357</v>
      </c>
      <c r="G13" s="8">
        <f>IF(IF(IF(ISERROR('Model inputs'!G42&gt;=0),'Model inputs'!G42&gt;=0,IF('Model inputs'!G42="","",'Model inputs'!G42&gt;=0))="",FALSE,IF(ISERROR('Model inputs'!G42&gt;=0),'Model inputs'!G42&gt;=0,IF('Model inputs'!G42="","",'Model inputs'!G42&gt;=0))),DATE(2027,1,1),"")</f>
        <v>46388</v>
      </c>
      <c r="H13" s="8">
        <f>IF(IF(IF(ISERROR('Model inputs'!H42&gt;=0),'Model inputs'!H42&gt;=0,IF('Model inputs'!H42="","",'Model inputs'!H42&gt;=0))="",FALSE,IF(ISERROR('Model inputs'!H42&gt;=0),'Model inputs'!H42&gt;=0,IF('Model inputs'!H42="","",'Model inputs'!H42&gt;=0))),DATE(2027,2,1),"")</f>
        <v>46419</v>
      </c>
      <c r="I13" s="8">
        <f>IF(IF(IF(ISERROR('Model inputs'!I42&gt;=0),'Model inputs'!I42&gt;=0,IF('Model inputs'!I42="","",'Model inputs'!I42&gt;=0))="",FALSE,IF(ISERROR('Model inputs'!I42&gt;=0),'Model inputs'!I42&gt;=0,IF('Model inputs'!I42="","",'Model inputs'!I42&gt;=0))),DATE(2027,3,1),"")</f>
        <v>46447</v>
      </c>
      <c r="J13" s="8">
        <f>IF(IF(IF(ISERROR('Model inputs'!J42&gt;=0),'Model inputs'!J42&gt;=0,IF('Model inputs'!J42="","",'Model inputs'!J42&gt;=0))="",FALSE,IF(ISERROR('Model inputs'!J42&gt;=0),'Model inputs'!J42&gt;=0,IF('Model inputs'!J42="","",'Model inputs'!J42&gt;=0))),DATE(2027,4,1),"")</f>
        <v>46478</v>
      </c>
      <c r="K13" s="8">
        <f>IF(IF(IF(ISERROR('Model inputs'!K42&gt;=0),'Model inputs'!K42&gt;=0,IF('Model inputs'!K42="","",'Model inputs'!K42&gt;=0))="",FALSE,IF(ISERROR('Model inputs'!K42&gt;=0),'Model inputs'!K42&gt;=0,IF('Model inputs'!K42="","",'Model inputs'!K42&gt;=0))),DATE(2027,5,1),"")</f>
        <v>46508</v>
      </c>
      <c r="L13" s="8">
        <f>IF(IF(IF(ISERROR('Model inputs'!L42&gt;=0),'Model inputs'!L42&gt;=0,IF('Model inputs'!L42="","",'Model inputs'!L42&gt;=0))="",FALSE,IF(ISERROR('Model inputs'!L42&gt;=0),'Model inputs'!L42&gt;=0,IF('Model inputs'!L42="","",'Model inputs'!L42&gt;=0))),DATE(2027,6,1),"")</f>
        <v>46539</v>
      </c>
      <c r="M13" s="8">
        <f>IF(IF(IF(ISERROR('Model inputs'!M42&gt;=0),'Model inputs'!M42&gt;=0,IF('Model inputs'!M42="","",'Model inputs'!M42&gt;=0))="",FALSE,IF(ISERROR('Model inputs'!M42&gt;=0),'Model inputs'!M42&gt;=0,IF('Model inputs'!M42="","",'Model inputs'!M42&gt;=0))),DATE(2027,7,1),"")</f>
        <v>46569</v>
      </c>
      <c r="N13" s="8">
        <f>IF(IF(IF(ISERROR('Model inputs'!N42&gt;=0),'Model inputs'!N42&gt;=0,IF('Model inputs'!N42="","",'Model inputs'!N42&gt;=0))="",FALSE,IF(ISERROR('Model inputs'!N42&gt;=0),'Model inputs'!N42&gt;=0,IF('Model inputs'!N42="","",'Model inputs'!N42&gt;=0))),DATE(2027,8,1),"")</f>
        <v>46600</v>
      </c>
      <c r="O13" s="8">
        <f>IF(IF(IF(ISERROR('Model inputs'!O42&gt;=0),'Model inputs'!O42&gt;=0,IF('Model inputs'!O42="","",'Model inputs'!O42&gt;=0))="",FALSE,IF(ISERROR('Model inputs'!O42&gt;=0),'Model inputs'!O42&gt;=0,IF('Model inputs'!O42="","",'Model inputs'!O42&gt;=0))),DATE(2027,9,1),"")</f>
        <v>46631</v>
      </c>
      <c r="P13" s="8">
        <f>IF(IF(IF(ISERROR('Model inputs'!P42&gt;=0),'Model inputs'!P42&gt;=0,IF('Model inputs'!P42="","",'Model inputs'!P42&gt;=0))="",FALSE,IF(ISERROR('Model inputs'!P42&gt;=0),'Model inputs'!P42&gt;=0,IF('Model inputs'!P42="","",'Model inputs'!P42&gt;=0))),DATE(2027,10,1),"")</f>
        <v>46661</v>
      </c>
      <c r="Q13" s="8">
        <f>IF(IF(IF(ISERROR('Model inputs'!Q42&gt;=0),'Model inputs'!Q42&gt;=0,IF('Model inputs'!Q42="","",'Model inputs'!Q42&gt;=0))="",FALSE,IF(ISERROR('Model inputs'!Q42&gt;=0),'Model inputs'!Q42&gt;=0,IF('Model inputs'!Q42="","",'Model inputs'!Q42&gt;=0))),DATE(2027,11,1),"")</f>
        <v>46692</v>
      </c>
      <c r="R13" s="8">
        <f>IF(IF(IF(ISERROR('Model inputs'!R42&gt;=0),'Model inputs'!R42&gt;=0,IF('Model inputs'!R42="","",'Model inputs'!R42&gt;=0))="",FALSE,IF(ISERROR('Model inputs'!R42&gt;=0),'Model inputs'!R42&gt;=0,IF('Model inputs'!R42="","",'Model inputs'!R42&gt;=0))),DATE(2027,12,1),"")</f>
        <v>46722</v>
      </c>
      <c r="S13" s="8">
        <f>IF(IF(IF(ISERROR('Model inputs'!S42&gt;=0),'Model inputs'!S42&gt;=0,IF('Model inputs'!S42="","",'Model inputs'!S42&gt;=0))="",FALSE,IF(ISERROR('Model inputs'!S42&gt;=0),'Model inputs'!S42&gt;=0,IF('Model inputs'!S42="","",'Model inputs'!S42&gt;=0))),DATE(2028,1,1),"")</f>
        <v>46753</v>
      </c>
      <c r="T13" s="8">
        <f>IF(IF(IF(ISERROR('Model inputs'!T42&gt;=0),'Model inputs'!T42&gt;=0,IF('Model inputs'!T42="","",'Model inputs'!T42&gt;=0))="",FALSE,IF(ISERROR('Model inputs'!T42&gt;=0),'Model inputs'!T42&gt;=0,IF('Model inputs'!T42="","",'Model inputs'!T42&gt;=0))),DATE(2028,2,1),"")</f>
        <v>46784</v>
      </c>
      <c r="U13" s="8">
        <f>IF(IF(IF(ISERROR('Model inputs'!U42&gt;=0),'Model inputs'!U42&gt;=0,IF('Model inputs'!U42="","",'Model inputs'!U42&gt;=0))="",FALSE,IF(ISERROR('Model inputs'!U42&gt;=0),'Model inputs'!U42&gt;=0,IF('Model inputs'!U42="","",'Model inputs'!U42&gt;=0))),DATE(2028,3,1),"")</f>
        <v>46813</v>
      </c>
      <c r="V13" s="8">
        <f>IF(IF(IF(ISERROR('Model inputs'!V42&gt;=0),'Model inputs'!V42&gt;=0,IF('Model inputs'!V42="","",'Model inputs'!V42&gt;=0))="",FALSE,IF(ISERROR('Model inputs'!V42&gt;=0),'Model inputs'!V42&gt;=0,IF('Model inputs'!V42="","",'Model inputs'!V42&gt;=0))),DATE(2028,4,1),"")</f>
        <v>46844</v>
      </c>
      <c r="W13" s="8">
        <f>IF(IF(IF(ISERROR('Model inputs'!W42&gt;=0),'Model inputs'!W42&gt;=0,IF('Model inputs'!W42="","",'Model inputs'!W42&gt;=0))="",FALSE,IF(ISERROR('Model inputs'!W42&gt;=0),'Model inputs'!W42&gt;=0,IF('Model inputs'!W42="","",'Model inputs'!W42&gt;=0))),DATE(2028,5,1),"")</f>
        <v>46874</v>
      </c>
      <c r="X13" s="8">
        <f>IF(IF(IF(ISERROR('Model inputs'!X42&gt;=0),'Model inputs'!X42&gt;=0,IF('Model inputs'!X42="","",'Model inputs'!X42&gt;=0))="",FALSE,IF(ISERROR('Model inputs'!X42&gt;=0),'Model inputs'!X42&gt;=0,IF('Model inputs'!X42="","",'Model inputs'!X42&gt;=0))),DATE(2028,6,1),"")</f>
        <v>46905</v>
      </c>
      <c r="Y13" s="8">
        <f>IF(IF(IF(ISERROR('Model inputs'!Y42&gt;=0),'Model inputs'!Y42&gt;=0,IF('Model inputs'!Y42="","",'Model inputs'!Y42&gt;=0))="",FALSE,IF(ISERROR('Model inputs'!Y42&gt;=0),'Model inputs'!Y42&gt;=0,IF('Model inputs'!Y42="","",'Model inputs'!Y42&gt;=0))),DATE(2028,7,1),"")</f>
        <v>46935</v>
      </c>
      <c r="Z13" s="8">
        <f>IF(IF(IF(ISERROR('Model inputs'!Z42&gt;=0),'Model inputs'!Z42&gt;=0,IF('Model inputs'!Z42="","",'Model inputs'!Z42&gt;=0))="",FALSE,IF(ISERROR('Model inputs'!Z42&gt;=0),'Model inputs'!Z42&gt;=0,IF('Model inputs'!Z42="","",'Model inputs'!Z42&gt;=0))),DATE(2028,8,1),"")</f>
        <v>46966</v>
      </c>
    </row>
    <row r="14">
      <c r="A14" t="inlineStr" s="18">
        <is>
          <t xml:space="preserve">Churned repositories · Base and upside comparison · Main Scenario</t>
        </is>
      </c>
      <c r="B14" s="10">
        <f>'Model inputs'!B46*'Model inputs'!AB104</f>
        <v>2.8938879279824796</v>
      </c>
      <c r="D14" s="10">
        <f>'Model inputs'!D46*'Model inputs'!AB104</f>
        <v>0</v>
      </c>
      <c r="E14" s="10">
        <f>'Model inputs'!E46*'Model inputs'!AB104</f>
        <v>0.1</v>
      </c>
      <c r="F14" s="10">
        <f>'Model inputs'!F46*'Model inputs'!AB104</f>
        <v>0.20000000000000004</v>
      </c>
      <c r="G14" s="10">
        <f>'Model inputs'!G46*'Model inputs'!AB104</f>
        <v>0.30000000000000004</v>
      </c>
      <c r="H14" s="10">
        <f>'Model inputs'!H46*'Model inputs'!AB104</f>
        <v>0.336</v>
      </c>
      <c r="I14" s="10">
        <f>'Model inputs'!I46*'Model inputs'!AB104</f>
        <v>0.37632</v>
      </c>
      <c r="J14" s="10">
        <f>'Model inputs'!J46*'Model inputs'!AB104</f>
        <v>0.42147840000000003</v>
      </c>
      <c r="K14" s="10">
        <f>'Model inputs'!K46*'Model inputs'!AB104</f>
        <v>0.472055808</v>
      </c>
      <c r="L14" s="10">
        <f>'Model inputs'!L46*'Model inputs'!AB104</f>
        <v>0.52870250496</v>
      </c>
      <c r="M14" s="10">
        <f>'Model inputs'!M46*'Model inputs'!AB104</f>
        <v>0.5921468055551998</v>
      </c>
      <c r="N14" s="10">
        <f>'Model inputs'!N46*'Model inputs'!AB104</f>
        <v>0.6632044222218239</v>
      </c>
      <c r="O14" s="10">
        <f>'Model inputs'!O46*'Model inputs'!AB104</f>
        <v>0.7427889528884427</v>
      </c>
      <c r="P14" s="10">
        <f>'Model inputs'!P46*'Model inputs'!AB104</f>
        <v>0.8319236272350559</v>
      </c>
      <c r="Q14" s="10">
        <f>'Model inputs'!Q46*'Model inputs'!AB104</f>
        <v>0.9317544625032625</v>
      </c>
      <c r="R14" s="10">
        <f>'Model inputs'!R46*'Model inputs'!AB104</f>
        <v>1.043564998003654</v>
      </c>
      <c r="S14" s="10">
        <f>'Model inputs'!S46*'Model inputs'!AB104</f>
        <v>1.1687927977640926</v>
      </c>
      <c r="T14" s="10">
        <f>'Model inputs'!T46*'Model inputs'!AB104</f>
        <v>1.3090479334957836</v>
      </c>
      <c r="U14" s="10">
        <f>'Model inputs'!U46*'Model inputs'!AB104</f>
        <v>1.4661336855152778</v>
      </c>
      <c r="V14" s="10">
        <f>'Model inputs'!V46*'Model inputs'!AB104</f>
        <v>1.642069727777111</v>
      </c>
      <c r="W14" s="10">
        <f>'Model inputs'!W46*'Model inputs'!AB104</f>
        <v>1.8391180951103643</v>
      </c>
      <c r="X14" s="10">
        <f>'Model inputs'!X46*'Model inputs'!AB104</f>
        <v>2.059812266523608</v>
      </c>
      <c r="Y14" s="10">
        <f>'Model inputs'!Y46*'Model inputs'!AB104</f>
        <v>2.306989738506441</v>
      </c>
      <c r="Z14" s="10">
        <f>'Model inputs'!Z46*'Model inputs'!AB104</f>
        <v>2.583828507127214</v>
      </c>
    </row>
    <row r="15">
      <c r="A15" t="inlineStr" s="18">
        <is>
          <t xml:space="preserve">Churned repositories · Upshift — Upside</t>
        </is>
      </c>
      <c r="B15" s="10">
        <f>'Model inputs'!B47*'Model inputs'!AB105</f>
        <v>40.01823008644236</v>
      </c>
      <c r="D15" s="10">
        <f>'Model inputs'!D47*'Model inputs'!AB105</f>
        <v>0</v>
      </c>
      <c r="E15" s="10">
        <f>'Model inputs'!E47*'Model inputs'!AB105</f>
        <v>0.25</v>
      </c>
      <c r="F15" s="10">
        <f>'Model inputs'!F47*'Model inputs'!AB105</f>
        <v>0.5</v>
      </c>
      <c r="G15" s="10">
        <f>'Model inputs'!G47*'Model inputs'!AB105</f>
        <v>0.75</v>
      </c>
      <c r="H15" s="10">
        <f>'Model inputs'!H47*'Model inputs'!AB105</f>
        <v>0.9149999999999999</v>
      </c>
      <c r="I15" s="10">
        <f>'Model inputs'!I47*'Model inputs'!AB105</f>
        <v>1.1163</v>
      </c>
      <c r="J15" s="10">
        <f>'Model inputs'!J47*'Model inputs'!AB105</f>
        <v>1.361886</v>
      </c>
      <c r="K15" s="10">
        <f>'Model inputs'!K47*'Model inputs'!AB105</f>
        <v>1.66150092</v>
      </c>
      <c r="L15" s="10">
        <f>'Model inputs'!L47*'Model inputs'!AB105</f>
        <v>2.0270311224000004</v>
      </c>
      <c r="M15" s="10">
        <f>'Model inputs'!M47*'Model inputs'!AB105</f>
        <v>2.4729779693280003</v>
      </c>
      <c r="N15" s="10">
        <f>'Model inputs'!N47*'Model inputs'!AB105</f>
        <v>3.0170331225801603</v>
      </c>
      <c r="O15" s="10">
        <f>'Model inputs'!O47*'Model inputs'!AB105</f>
        <v>3.6807804095477956</v>
      </c>
      <c r="P15" s="10">
        <f>'Model inputs'!P47*'Model inputs'!AB105</f>
        <v>4.490552099648311</v>
      </c>
      <c r="Q15" s="10">
        <f>'Model inputs'!Q47*'Model inputs'!AB105</f>
        <v>5.478473561570939</v>
      </c>
      <c r="R15" s="10">
        <f>'Model inputs'!R47*'Model inputs'!AB105</f>
        <v>6.683737745116546</v>
      </c>
      <c r="S15" s="10">
        <f>'Model inputs'!S47*'Model inputs'!AB105</f>
        <v>8.154160049042186</v>
      </c>
      <c r="T15" s="10">
        <f>'Model inputs'!T47*'Model inputs'!AB105</f>
        <v>9.948075259831468</v>
      </c>
      <c r="U15" s="10">
        <f>'Model inputs'!U47*'Model inputs'!AB105</f>
        <v>12.13665181699439</v>
      </c>
      <c r="V15" s="10">
        <f>'Model inputs'!V47*'Model inputs'!AB105</f>
        <v>14.806715216733158</v>
      </c>
      <c r="W15" s="10">
        <f>'Model inputs'!W47*'Model inputs'!AB105</f>
        <v>18.064192564414448</v>
      </c>
      <c r="X15" s="10">
        <f>'Model inputs'!X47*'Model inputs'!AB105</f>
        <v>22.038314928585624</v>
      </c>
      <c r="Y15" s="10">
        <f>'Model inputs'!Y47*'Model inputs'!AB105</f>
        <v>26.886744212874465</v>
      </c>
      <c r="Z15" s="10">
        <f>'Model inputs'!Z47*'Model inputs'!AB105</f>
        <v>32.801827939706854</v>
      </c>
      <c r="AA15" s="10">
        <v>0</v>
      </c>
    </row>
    <row r="16">
      <c r="A16" t="inlineStr" s="18">
        <is>
          <t xml:space="preserve">Combined stress break-even marker</t>
        </is>
      </c>
      <c r="B16" s="8">
        <f>IF(IF(IF(ISERROR('Model inputs'!B115&gt;=0),'Model inputs'!B115&gt;=0,IF('Model inputs'!B115="","",'Model inputs'!B115&gt;=0))="",FALSE,IF(ISERROR('Model inputs'!B115&gt;=0),'Model inputs'!B115&gt;=0,IF('Model inputs'!B115="","",'Model inputs'!B115&gt;=0))),DATE(2028,9,1),"")</f>
        <v>46997</v>
      </c>
      <c r="D16" t="str" s="10">
        <f>IF(IF(IF(ISERROR('Model inputs'!D115&gt;=0),'Model inputs'!D115&gt;=0,IF('Model inputs'!D115="","",'Model inputs'!D115&gt;=0))="",FALSE,IF(ISERROR('Model inputs'!D115&gt;=0),'Model inputs'!D115&gt;=0,IF('Model inputs'!D115="","",'Model inputs'!D115&gt;=0))),DATE(2026,10,1),"")</f>
        <v/>
      </c>
      <c r="E16" t="str" s="10">
        <f>IF(IF(IF(ISERROR('Model inputs'!E115&gt;=0),'Model inputs'!E115&gt;=0,IF('Model inputs'!E115="","",'Model inputs'!E115&gt;=0))="",FALSE,IF(ISERROR('Model inputs'!E115&gt;=0),'Model inputs'!E115&gt;=0,IF('Model inputs'!E115="","",'Model inputs'!E115&gt;=0))),DATE(2026,11,1),"")</f>
        <v/>
      </c>
      <c r="F16" t="str" s="10">
        <f>IF(IF(IF(ISERROR('Model inputs'!F115&gt;=0),'Model inputs'!F115&gt;=0,IF('Model inputs'!F115="","",'Model inputs'!F115&gt;=0))="",FALSE,IF(ISERROR('Model inputs'!F115&gt;=0),'Model inputs'!F115&gt;=0,IF('Model inputs'!F115="","",'Model inputs'!F115&gt;=0))),DATE(2026,12,1),"")</f>
        <v/>
      </c>
      <c r="G16" t="str" s="10">
        <f>IF(IF(IF(ISERROR('Model inputs'!G115&gt;=0),'Model inputs'!G115&gt;=0,IF('Model inputs'!G115="","",'Model inputs'!G115&gt;=0))="",FALSE,IF(ISERROR('Model inputs'!G115&gt;=0),'Model inputs'!G115&gt;=0,IF('Model inputs'!G115="","",'Model inputs'!G115&gt;=0))),DATE(2027,1,1),"")</f>
        <v/>
      </c>
      <c r="H16" t="str" s="10">
        <f>IF(IF(IF(ISERROR('Model inputs'!H115&gt;=0),'Model inputs'!H115&gt;=0,IF('Model inputs'!H115="","",'Model inputs'!H115&gt;=0))="",FALSE,IF(ISERROR('Model inputs'!H115&gt;=0),'Model inputs'!H115&gt;=0,IF('Model inputs'!H115="","",'Model inputs'!H115&gt;=0))),DATE(2027,2,1),"")</f>
        <v/>
      </c>
      <c r="I16" s="8">
        <f>IF(IF(IF(ISERROR('Model inputs'!I115&gt;=0),'Model inputs'!I115&gt;=0,IF('Model inputs'!I115="","",'Model inputs'!I115&gt;=0))="",FALSE,IF(ISERROR('Model inputs'!I115&gt;=0),'Model inputs'!I115&gt;=0,IF('Model inputs'!I115="","",'Model inputs'!I115&gt;=0))),DATE(2027,3,1),"")</f>
        <v>46447</v>
      </c>
      <c r="J16" s="8">
        <f>IF(IF(IF(ISERROR('Model inputs'!J115&gt;=0),'Model inputs'!J115&gt;=0,IF('Model inputs'!J115="","",'Model inputs'!J115&gt;=0))="",FALSE,IF(ISERROR('Model inputs'!J115&gt;=0),'Model inputs'!J115&gt;=0,IF('Model inputs'!J115="","",'Model inputs'!J115&gt;=0))),DATE(2027,4,1),"")</f>
        <v>46478</v>
      </c>
      <c r="K16" s="8">
        <f>IF(IF(IF(ISERROR('Model inputs'!K115&gt;=0),'Model inputs'!K115&gt;=0,IF('Model inputs'!K115="","",'Model inputs'!K115&gt;=0))="",FALSE,IF(ISERROR('Model inputs'!K115&gt;=0),'Model inputs'!K115&gt;=0,IF('Model inputs'!K115="","",'Model inputs'!K115&gt;=0))),DATE(2027,5,1),"")</f>
        <v>46508</v>
      </c>
      <c r="L16" s="8">
        <f>IF(IF(IF(ISERROR('Model inputs'!L115&gt;=0),'Model inputs'!L115&gt;=0,IF('Model inputs'!L115="","",'Model inputs'!L115&gt;=0))="",FALSE,IF(ISERROR('Model inputs'!L115&gt;=0),'Model inputs'!L115&gt;=0,IF('Model inputs'!L115="","",'Model inputs'!L115&gt;=0))),DATE(2027,6,1),"")</f>
        <v>46539</v>
      </c>
      <c r="M16" s="8">
        <f>IF(IF(IF(ISERROR('Model inputs'!M115&gt;=0),'Model inputs'!M115&gt;=0,IF('Model inputs'!M115="","",'Model inputs'!M115&gt;=0))="",FALSE,IF(ISERROR('Model inputs'!M115&gt;=0),'Model inputs'!M115&gt;=0,IF('Model inputs'!M115="","",'Model inputs'!M115&gt;=0))),DATE(2027,7,1),"")</f>
        <v>46569</v>
      </c>
      <c r="N16" s="8">
        <f>IF(IF(IF(ISERROR('Model inputs'!N115&gt;=0),'Model inputs'!N115&gt;=0,IF('Model inputs'!N115="","",'Model inputs'!N115&gt;=0))="",FALSE,IF(ISERROR('Model inputs'!N115&gt;=0),'Model inputs'!N115&gt;=0,IF('Model inputs'!N115="","",'Model inputs'!N115&gt;=0))),DATE(2027,8,1),"")</f>
        <v>46600</v>
      </c>
      <c r="O16" s="8">
        <f>IF(IF(IF(ISERROR('Model inputs'!O115&gt;=0),'Model inputs'!O115&gt;=0,IF('Model inputs'!O115="","",'Model inputs'!O115&gt;=0))="",FALSE,IF(ISERROR('Model inputs'!O115&gt;=0),'Model inputs'!O115&gt;=0,IF('Model inputs'!O115="","",'Model inputs'!O115&gt;=0))),DATE(2027,9,1),"")</f>
        <v>46631</v>
      </c>
      <c r="P16" s="8">
        <f>IF(IF(IF(ISERROR('Model inputs'!P115&gt;=0),'Model inputs'!P115&gt;=0,IF('Model inputs'!P115="","",'Model inputs'!P115&gt;=0))="",FALSE,IF(ISERROR('Model inputs'!P115&gt;=0),'Model inputs'!P115&gt;=0,IF('Model inputs'!P115="","",'Model inputs'!P115&gt;=0))),DATE(2027,10,1),"")</f>
        <v>46661</v>
      </c>
      <c r="Q16" s="8">
        <f>IF(IF(IF(ISERROR('Model inputs'!Q115&gt;=0),'Model inputs'!Q115&gt;=0,IF('Model inputs'!Q115="","",'Model inputs'!Q115&gt;=0))="",FALSE,IF(ISERROR('Model inputs'!Q115&gt;=0),'Model inputs'!Q115&gt;=0,IF('Model inputs'!Q115="","",'Model inputs'!Q115&gt;=0))),DATE(2027,11,1),"")</f>
        <v>46692</v>
      </c>
      <c r="R16" s="8">
        <f>IF(IF(IF(ISERROR('Model inputs'!R115&gt;=0),'Model inputs'!R115&gt;=0,IF('Model inputs'!R115="","",'Model inputs'!R115&gt;=0))="",FALSE,IF(ISERROR('Model inputs'!R115&gt;=0),'Model inputs'!R115&gt;=0,IF('Model inputs'!R115="","",'Model inputs'!R115&gt;=0))),DATE(2027,12,1),"")</f>
        <v>46722</v>
      </c>
      <c r="S16" s="8">
        <f>IF(IF(IF(ISERROR('Model inputs'!S115&gt;=0),'Model inputs'!S115&gt;=0,IF('Model inputs'!S115="","",'Model inputs'!S115&gt;=0))="",FALSE,IF(ISERROR('Model inputs'!S115&gt;=0),'Model inputs'!S115&gt;=0,IF('Model inputs'!S115="","",'Model inputs'!S115&gt;=0))),DATE(2028,1,1),"")</f>
        <v>46753</v>
      </c>
      <c r="T16" s="8">
        <f>IF(IF(IF(ISERROR('Model inputs'!T115&gt;=0),'Model inputs'!T115&gt;=0,IF('Model inputs'!T115="","",'Model inputs'!T115&gt;=0))="",FALSE,IF(ISERROR('Model inputs'!T115&gt;=0),'Model inputs'!T115&gt;=0,IF('Model inputs'!T115="","",'Model inputs'!T115&gt;=0))),DATE(2028,2,1),"")</f>
        <v>46784</v>
      </c>
      <c r="U16" s="8">
        <f>IF(IF(IF(ISERROR('Model inputs'!U115&gt;=0),'Model inputs'!U115&gt;=0,IF('Model inputs'!U115="","",'Model inputs'!U115&gt;=0))="",FALSE,IF(ISERROR('Model inputs'!U115&gt;=0),'Model inputs'!U115&gt;=0,IF('Model inputs'!U115="","",'Model inputs'!U115&gt;=0))),DATE(2028,3,1),"")</f>
        <v>46813</v>
      </c>
      <c r="V16" s="8">
        <f>IF(IF(IF(ISERROR('Model inputs'!V115&gt;=0),'Model inputs'!V115&gt;=0,IF('Model inputs'!V115="","",'Model inputs'!V115&gt;=0))="",FALSE,IF(ISERROR('Model inputs'!V115&gt;=0),'Model inputs'!V115&gt;=0,IF('Model inputs'!V115="","",'Model inputs'!V115&gt;=0))),DATE(2028,4,1),"")</f>
        <v>46844</v>
      </c>
      <c r="W16" s="8">
        <f>IF(IF(IF(ISERROR('Model inputs'!W115&gt;=0),'Model inputs'!W115&gt;=0,IF('Model inputs'!W115="","",'Model inputs'!W115&gt;=0))="",FALSE,IF(ISERROR('Model inputs'!W115&gt;=0),'Model inputs'!W115&gt;=0,IF('Model inputs'!W115="","",'Model inputs'!W115&gt;=0))),DATE(2028,5,1),"")</f>
        <v>46874</v>
      </c>
      <c r="X16" s="8">
        <f>IF(IF(IF(ISERROR('Model inputs'!X115&gt;=0),'Model inputs'!X115&gt;=0,IF('Model inputs'!X115="","",'Model inputs'!X115&gt;=0))="",FALSE,IF(ISERROR('Model inputs'!X115&gt;=0),'Model inputs'!X115&gt;=0,IF('Model inputs'!X115="","",'Model inputs'!X115&gt;=0))),DATE(2028,6,1),"")</f>
        <v>46905</v>
      </c>
      <c r="Y16" s="8">
        <f>IF(IF(IF(ISERROR('Model inputs'!Y115&gt;=0),'Model inputs'!Y115&gt;=0,IF('Model inputs'!Y115="","",'Model inputs'!Y115&gt;=0))="",FALSE,IF(ISERROR('Model inputs'!Y115&gt;=0),'Model inputs'!Y115&gt;=0,IF('Model inputs'!Y115="","",'Model inputs'!Y115&gt;=0))),DATE(2028,7,1),"")</f>
        <v>46935</v>
      </c>
      <c r="Z16" s="8">
        <f>IF(IF(IF(ISERROR('Model inputs'!Z115&gt;=0),'Model inputs'!Z115&gt;=0,IF('Model inputs'!Z115="","",'Model inputs'!Z115&gt;=0))="",FALSE,IF(ISERROR('Model inputs'!Z115&gt;=0),'Model inputs'!Z115&gt;=0,IF('Model inputs'!Z115="","",'Model inputs'!Z115&gt;=0))),DATE(2028,8,1),"")</f>
        <v>46966</v>
      </c>
    </row>
    <row r="17">
      <c r="A17" t="inlineStr" s="18">
        <is>
          <t xml:space="preserve">Compute costs · Main Scenario</t>
        </is>
      </c>
      <c r="B17" s="9">
        <f>'Model inputs'!B121*'Model inputs'!C62+'Model inputs'!B72*'Model inputs'!C7</f>
        <v>19.446926876042266</v>
      </c>
      <c r="D17" s="9">
        <f>'Model inputs'!D121*'Model inputs'!C62+'Model inputs'!D72*'Model inputs'!C7</f>
        <v>0.6000000000000001</v>
      </c>
      <c r="E17" s="9">
        <f>'Model inputs'!E121*'Model inputs'!C62+'Model inputs'!E72*'Model inputs'!C7</f>
        <v>1.2000000000000002</v>
      </c>
      <c r="F17" s="9">
        <f>'Model inputs'!F121*'Model inputs'!C62+'Model inputs'!F72*'Model inputs'!C7</f>
        <v>1.8000000000000003</v>
      </c>
      <c r="G17" s="9">
        <f>'Model inputs'!G121*'Model inputs'!C62+'Model inputs'!G72*'Model inputs'!C7</f>
        <v>2.016</v>
      </c>
      <c r="H17" s="9">
        <f>'Model inputs'!H121*'Model inputs'!C62+'Model inputs'!H72*'Model inputs'!C7</f>
        <v>2.2579200000000004</v>
      </c>
      <c r="I17" s="9">
        <f>'Model inputs'!I121*'Model inputs'!C62+'Model inputs'!I72*'Model inputs'!C7</f>
        <v>2.5288704000000006</v>
      </c>
      <c r="J17" s="9">
        <f>'Model inputs'!J121*'Model inputs'!C62+'Model inputs'!J72*'Model inputs'!C7</f>
        <v>2.8323348480000003</v>
      </c>
      <c r="K17" s="9">
        <f>'Model inputs'!K121*'Model inputs'!C62+'Model inputs'!K72*'Model inputs'!C7</f>
        <v>3.1722150297600002</v>
      </c>
      <c r="L17" s="9">
        <f>'Model inputs'!L121*'Model inputs'!C62+'Model inputs'!L72*'Model inputs'!C7</f>
        <v>3.5528808333311996</v>
      </c>
      <c r="M17" s="9">
        <f>'Model inputs'!M121*'Model inputs'!C62+'Model inputs'!M72*'Model inputs'!C7</f>
        <v>3.9792265333309436</v>
      </c>
      <c r="N17" s="9">
        <f>'Model inputs'!N121*'Model inputs'!C62+'Model inputs'!N72*'Model inputs'!C7</f>
        <v>4.456733717330657</v>
      </c>
      <c r="O17" s="9">
        <f>'Model inputs'!O121*'Model inputs'!C62+'Model inputs'!O72*'Model inputs'!C7</f>
        <v>4.991541763410336</v>
      </c>
      <c r="P17" s="9">
        <f>'Model inputs'!P121*'Model inputs'!C62+'Model inputs'!P72*'Model inputs'!C7</f>
        <v>5.590526775019576</v>
      </c>
      <c r="Q17" s="9">
        <f>'Model inputs'!Q121*'Model inputs'!C62+'Model inputs'!Q72*'Model inputs'!C7</f>
        <v>6.261389988021925</v>
      </c>
      <c r="R17" s="9">
        <f>'Model inputs'!R121*'Model inputs'!C62+'Model inputs'!R72*'Model inputs'!C7</f>
        <v>7.012756786584556</v>
      </c>
      <c r="S17" s="9">
        <f>'Model inputs'!S121*'Model inputs'!C62+'Model inputs'!S72*'Model inputs'!C7</f>
        <v>7.854287600974702</v>
      </c>
      <c r="T17" s="9">
        <f>'Model inputs'!T121*'Model inputs'!C62+'Model inputs'!T72*'Model inputs'!C7</f>
        <v>8.796802113091667</v>
      </c>
      <c r="U17" s="9">
        <f>'Model inputs'!U121*'Model inputs'!C62+'Model inputs'!U72*'Model inputs'!C7</f>
        <v>9.852418366662668</v>
      </c>
      <c r="V17" s="9">
        <f>'Model inputs'!V121*'Model inputs'!C62+'Model inputs'!V72*'Model inputs'!C7</f>
        <v>11.034708570662186</v>
      </c>
      <c r="W17" s="9">
        <f>'Model inputs'!W121*'Model inputs'!C62+'Model inputs'!W72*'Model inputs'!C7</f>
        <v>12.35887359914165</v>
      </c>
      <c r="X17" s="9">
        <f>'Model inputs'!X121*'Model inputs'!C62+'Model inputs'!X72*'Model inputs'!C7</f>
        <v>13.841938431038647</v>
      </c>
      <c r="Y17" s="9">
        <f>'Model inputs'!Y121*'Model inputs'!C62+'Model inputs'!Y72*'Model inputs'!C7</f>
        <v>15.502971042763285</v>
      </c>
      <c r="Z17" s="9">
        <f>'Model inputs'!Z121*'Model inputs'!C62+'Model inputs'!Z72*'Model inputs'!C7</f>
        <v>17.36332756789488</v>
      </c>
    </row>
    <row r="18">
      <c r="A18" t="inlineStr" s="18">
        <is>
          <t xml:space="preserve">Compute costs · Upshift — Upside</t>
        </is>
      </c>
      <c r="B18" s="9">
        <f>'Model inputs'!B122*'Model inputs'!AB120+'Model inputs'!B73*'Model inputs'!AB71</f>
        <v>292.9334442327581</v>
      </c>
      <c r="D18" s="9">
        <f>'Model inputs'!D122*'Model inputs'!AB120+'Model inputs'!D73*'Model inputs'!AB71</f>
        <v>1.5000000000000002</v>
      </c>
      <c r="E18" s="9">
        <f>'Model inputs'!E122*'Model inputs'!AB120+'Model inputs'!E73*'Model inputs'!AB71</f>
        <v>3.0000000000000004</v>
      </c>
      <c r="F18" s="9">
        <f>'Model inputs'!F122*'Model inputs'!AB120+'Model inputs'!F73*'Model inputs'!AB71</f>
        <v>4.5</v>
      </c>
      <c r="G18" s="9">
        <f>'Model inputs'!G122*'Model inputs'!AB120+'Model inputs'!G73*'Model inputs'!AB71</f>
        <v>5.49</v>
      </c>
      <c r="H18" s="9">
        <f>'Model inputs'!H122*'Model inputs'!AB120+'Model inputs'!H73*'Model inputs'!AB71</f>
        <v>6.697800000000001</v>
      </c>
      <c r="I18" s="9">
        <f>'Model inputs'!I122*'Model inputs'!AB120+'Model inputs'!I73*'Model inputs'!AB71</f>
        <v>8.171316000000001</v>
      </c>
      <c r="J18" s="9">
        <f>'Model inputs'!J122*'Model inputs'!AB120+'Model inputs'!J73*'Model inputs'!AB71</f>
        <v>9.96900552</v>
      </c>
      <c r="K18" s="9">
        <f>'Model inputs'!K122*'Model inputs'!AB120+'Model inputs'!K73*'Model inputs'!AB71</f>
        <v>12.162186734400002</v>
      </c>
      <c r="L18" s="9">
        <f>'Model inputs'!L122*'Model inputs'!AB120+'Model inputs'!L73*'Model inputs'!AB71</f>
        <v>14.837867815968004</v>
      </c>
      <c r="M18" s="9">
        <f>'Model inputs'!M122*'Model inputs'!AB120+'Model inputs'!M73*'Model inputs'!AB71</f>
        <v>18.102198735480965</v>
      </c>
      <c r="N18" s="9">
        <f>'Model inputs'!N122*'Model inputs'!AB120+'Model inputs'!N73*'Model inputs'!AB71</f>
        <v>22.084682457286775</v>
      </c>
      <c r="O18" s="9">
        <f>'Model inputs'!O122*'Model inputs'!AB120+'Model inputs'!O73*'Model inputs'!AB71</f>
        <v>26.943312597889868</v>
      </c>
      <c r="P18" s="9">
        <f>'Model inputs'!P122*'Model inputs'!AB120+'Model inputs'!P73*'Model inputs'!AB71</f>
        <v>32.87084136942564</v>
      </c>
      <c r="Q18" s="9">
        <f>'Model inputs'!Q122*'Model inputs'!AB120+'Model inputs'!Q73*'Model inputs'!AB71</f>
        <v>40.102426470699285</v>
      </c>
      <c r="R18" s="9">
        <f>'Model inputs'!R122*'Model inputs'!AB120+'Model inputs'!R73*'Model inputs'!AB71</f>
        <v>48.924960294253125</v>
      </c>
      <c r="S18" s="9">
        <f>'Model inputs'!S122*'Model inputs'!AB120+'Model inputs'!S73*'Model inputs'!AB71</f>
        <v>59.68845155898882</v>
      </c>
      <c r="T18" s="9">
        <f>'Model inputs'!T122*'Model inputs'!AB120+'Model inputs'!T73*'Model inputs'!AB71</f>
        <v>72.81991090196635</v>
      </c>
      <c r="U18" s="9">
        <f>'Model inputs'!U122*'Model inputs'!AB120+'Model inputs'!U73*'Model inputs'!AB71</f>
        <v>88.84029130039895</v>
      </c>
      <c r="V18" s="9">
        <f>'Model inputs'!V122*'Model inputs'!AB120+'Model inputs'!V73*'Model inputs'!AB71</f>
        <v>108.3851553864867</v>
      </c>
      <c r="W18" s="9">
        <f>'Model inputs'!W122*'Model inputs'!AB120+'Model inputs'!W73*'Model inputs'!AB71</f>
        <v>132.22988957151375</v>
      </c>
      <c r="X18" s="9">
        <f>'Model inputs'!X122*'Model inputs'!AB120+'Model inputs'!X73*'Model inputs'!AB71</f>
        <v>161.3204652772468</v>
      </c>
      <c r="Y18" s="9">
        <f>'Model inputs'!Y122*'Model inputs'!AB120+'Model inputs'!Y73*'Model inputs'!AB71</f>
        <v>196.81096763824112</v>
      </c>
      <c r="Z18" s="9">
        <f>'Model inputs'!Z122*'Model inputs'!AB120+'Model inputs'!Z73*'Model inputs'!AB71</f>
        <v>240.10938051865418</v>
      </c>
      <c r="AA18" s="9">
        <v>0</v>
      </c>
    </row>
    <row r="19">
      <c r="A19" t="inlineStr" s="18">
        <is>
          <t xml:space="preserve">Delivery cost buffer · Main Scenario</t>
        </is>
      </c>
      <c r="B19" s="9">
        <f>('Model inputs'!B51+'Model inputs'!AB96)*'Model inputs'!C56</f>
        <v>2.160769652893585</v>
      </c>
      <c r="D19" s="9">
        <f>('Model inputs'!D51+'Model inputs'!AB96)*'Model inputs'!C56</f>
        <v>0.06666666666666667</v>
      </c>
      <c r="E19" s="9">
        <f>('Model inputs'!E51+'Model inputs'!AB96)*'Model inputs'!C56</f>
        <v>0.13333333333333336</v>
      </c>
      <c r="F19" s="9">
        <f>('Model inputs'!F51+'Model inputs'!AB96)*'Model inputs'!C56</f>
        <v>0.20000000000000004</v>
      </c>
      <c r="G19" s="9">
        <f>('Model inputs'!G51+'Model inputs'!AB96)*'Model inputs'!C56</f>
        <v>0.22400000000000003</v>
      </c>
      <c r="H19" s="9">
        <f>('Model inputs'!H51+'Model inputs'!AB96)*'Model inputs'!C56</f>
        <v>0.25088</v>
      </c>
      <c r="I19" s="9">
        <f>('Model inputs'!I51+'Model inputs'!AB96)*'Model inputs'!C56</f>
        <v>0.28098560000000006</v>
      </c>
      <c r="J19" s="9">
        <f>('Model inputs'!J51+'Model inputs'!AB96)*'Model inputs'!C56</f>
        <v>0.314703872</v>
      </c>
      <c r="K19" s="9">
        <f>('Model inputs'!K51+'Model inputs'!AB96)*'Model inputs'!C56</f>
        <v>0.35246833664</v>
      </c>
      <c r="L19" s="9">
        <f>('Model inputs'!L51+'Model inputs'!AB96)*'Model inputs'!C56</f>
        <v>0.3947645370367999</v>
      </c>
      <c r="M19" s="9">
        <f>('Model inputs'!M51+'Model inputs'!AB96)*'Model inputs'!C56</f>
        <v>0.4421362814812159</v>
      </c>
      <c r="N19" s="9">
        <f>('Model inputs'!N51+'Model inputs'!AB96)*'Model inputs'!C56</f>
        <v>0.49519263525896184</v>
      </c>
      <c r="O19" s="9">
        <f>('Model inputs'!O51+'Model inputs'!AB96)*'Model inputs'!C56</f>
        <v>0.5546157514900373</v>
      </c>
      <c r="P19" s="9">
        <f>('Model inputs'!P51+'Model inputs'!AB96)*'Model inputs'!C56</f>
        <v>0.6211696416688417</v>
      </c>
      <c r="Q19" s="9">
        <f>('Model inputs'!Q51+'Model inputs'!AB96)*'Model inputs'!C56</f>
        <v>0.6957099986691028</v>
      </c>
      <c r="R19" s="9">
        <f>('Model inputs'!R51+'Model inputs'!AB96)*'Model inputs'!C56</f>
        <v>0.7791951985093951</v>
      </c>
      <c r="S19" s="9">
        <f>('Model inputs'!S51+'Model inputs'!AB96)*'Model inputs'!C56</f>
        <v>0.8726986223305225</v>
      </c>
      <c r="T19" s="9">
        <f>('Model inputs'!T51+'Model inputs'!AB96)*'Model inputs'!C56</f>
        <v>0.9774224570101852</v>
      </c>
      <c r="U19" s="9">
        <f>('Model inputs'!U51+'Model inputs'!AB96)*'Model inputs'!C56</f>
        <v>1.0947131518514075</v>
      </c>
      <c r="V19" s="9">
        <f>('Model inputs'!V51+'Model inputs'!AB96)*'Model inputs'!C56</f>
        <v>1.2260787300735763</v>
      </c>
      <c r="W19" s="9">
        <f>('Model inputs'!W51+'Model inputs'!AB96)*'Model inputs'!C56</f>
        <v>1.3732081776824054</v>
      </c>
      <c r="X19" s="9">
        <f>('Model inputs'!X51+'Model inputs'!AB96)*'Model inputs'!C56</f>
        <v>1.5379931590042941</v>
      </c>
      <c r="Y19" s="9">
        <f>('Model inputs'!Y51+'Model inputs'!AB96)*'Model inputs'!C56</f>
        <v>1.7225523380848093</v>
      </c>
      <c r="Z19" s="9">
        <f>('Model inputs'!Z51+'Model inputs'!AB96)*'Model inputs'!C56</f>
        <v>1.9292586186549867</v>
      </c>
      <c r="AA19" s="9">
        <v>0</v>
      </c>
    </row>
    <row r="20">
      <c r="A20" t="inlineStr" s="18">
        <is>
          <t xml:space="preserve">Delivery cost buffer · Upshift — Upside</t>
        </is>
      </c>
      <c r="B20" s="9">
        <f>('Model inputs'!B110+'Model inputs'!AB97)*'Model inputs'!AB114</f>
        <v>32.548160470306456</v>
      </c>
      <c r="D20" s="9">
        <f>('Model inputs'!D110+'Model inputs'!AB97)*'Model inputs'!AB114</f>
        <v>0.16666666666666669</v>
      </c>
      <c r="E20" s="9">
        <f>('Model inputs'!E110+'Model inputs'!AB97)*'Model inputs'!AB114</f>
        <v>0.33333333333333337</v>
      </c>
      <c r="F20" s="9">
        <f>('Model inputs'!F110+'Model inputs'!AB97)*'Model inputs'!AB114</f>
        <v>0.5</v>
      </c>
      <c r="G20" s="9">
        <f>('Model inputs'!G110+'Model inputs'!AB97)*'Model inputs'!AB114</f>
        <v>0.61</v>
      </c>
      <c r="H20" s="9">
        <f>('Model inputs'!H110+'Model inputs'!AB97)*'Model inputs'!AB114</f>
        <v>0.7442000000000001</v>
      </c>
      <c r="I20" s="9">
        <f>('Model inputs'!I110+'Model inputs'!AB97)*'Model inputs'!AB114</f>
        <v>0.9079240000000001</v>
      </c>
      <c r="J20" s="9">
        <f>('Model inputs'!J110+'Model inputs'!AB97)*'Model inputs'!AB114</f>
        <v>1.10766728</v>
      </c>
      <c r="K20" s="9">
        <f>('Model inputs'!K110+'Model inputs'!AB97)*'Model inputs'!AB114</f>
        <v>1.3513540816000003</v>
      </c>
      <c r="L20" s="9">
        <f>('Model inputs'!L110+'Model inputs'!AB97)*'Model inputs'!AB114</f>
        <v>1.6486519795520003</v>
      </c>
      <c r="M20" s="9">
        <f>('Model inputs'!M110+'Model inputs'!AB97)*'Model inputs'!AB114</f>
        <v>2.0113554150534405</v>
      </c>
      <c r="N20" s="9">
        <f>('Model inputs'!N110+'Model inputs'!AB97)*'Model inputs'!AB114</f>
        <v>2.4538536063651972</v>
      </c>
      <c r="O20" s="9">
        <f>('Model inputs'!O110+'Model inputs'!AB97)*'Model inputs'!AB114</f>
        <v>2.993701399765541</v>
      </c>
      <c r="P20" s="9">
        <f>('Model inputs'!P110+'Model inputs'!AB97)*'Model inputs'!AB114</f>
        <v>3.65231570771396</v>
      </c>
      <c r="Q20" s="9">
        <f>('Model inputs'!Q110+'Model inputs'!AB97)*'Model inputs'!AB114</f>
        <v>4.455825163411031</v>
      </c>
      <c r="R20" s="9">
        <f>('Model inputs'!R110+'Model inputs'!AB97)*'Model inputs'!AB114</f>
        <v>5.436106699361458</v>
      </c>
      <c r="S20" s="9">
        <f>('Model inputs'!S110+'Model inputs'!AB97)*'Model inputs'!AB114</f>
        <v>6.632050173220979</v>
      </c>
      <c r="T20" s="9">
        <f>('Model inputs'!T110+'Model inputs'!AB97)*'Model inputs'!AB114</f>
        <v>8.091101211329594</v>
      </c>
      <c r="U20" s="9">
        <f>('Model inputs'!U110+'Model inputs'!AB97)*'Model inputs'!AB114</f>
        <v>9.871143477822105</v>
      </c>
      <c r="V20" s="9">
        <f>('Model inputs'!V110+'Model inputs'!AB97)*'Model inputs'!AB114</f>
        <v>12.042795042942966</v>
      </c>
      <c r="W20" s="9">
        <f>('Model inputs'!W110+'Model inputs'!AB97)*'Model inputs'!AB114</f>
        <v>14.692209952390417</v>
      </c>
      <c r="X20" s="9">
        <f>('Model inputs'!X110+'Model inputs'!AB97)*'Model inputs'!AB114</f>
        <v>17.92449614191631</v>
      </c>
      <c r="Y20" s="9">
        <f>('Model inputs'!Y110+'Model inputs'!AB97)*'Model inputs'!AB114</f>
        <v>21.867885293137903</v>
      </c>
      <c r="Z20" s="9">
        <f>('Model inputs'!Z110+'Model inputs'!AB97)*'Model inputs'!AB114</f>
        <v>26.67882005762824</v>
      </c>
      <c r="AA20" s="9">
        <v>0</v>
      </c>
    </row>
    <row r="21">
      <c r="A21" t="inlineStr" s="18">
        <is>
          <t xml:space="preserve">Fixed operating costs · Main Scenario</t>
        </is>
      </c>
      <c r="B21" s="9">
        <f>SUM('Model inputs'!B89,'Model inputs'!B90,'Model inputs'!B91)</f>
        <v>300</v>
      </c>
      <c r="D21" s="9">
        <f>SUM('Model inputs'!D89,'Model inputs'!D90,'Model inputs'!D91)</f>
        <v>300</v>
      </c>
      <c r="E21" s="9">
        <f>SUM('Model inputs'!E89,'Model inputs'!E90,'Model inputs'!E91)</f>
        <v>300</v>
      </c>
      <c r="F21" s="9">
        <f>SUM('Model inputs'!F89,'Model inputs'!F90,'Model inputs'!F91)</f>
        <v>300</v>
      </c>
      <c r="G21" s="9">
        <f>SUM('Model inputs'!G89,'Model inputs'!G90,'Model inputs'!G91)</f>
        <v>300</v>
      </c>
      <c r="H21" s="9">
        <f>SUM('Model inputs'!H89,'Model inputs'!H90,'Model inputs'!H91)</f>
        <v>300</v>
      </c>
      <c r="I21" s="9">
        <f>SUM('Model inputs'!I89,'Model inputs'!I90,'Model inputs'!I91)</f>
        <v>300</v>
      </c>
      <c r="J21" s="9">
        <f>SUM('Model inputs'!J89,'Model inputs'!J90,'Model inputs'!J91)</f>
        <v>300</v>
      </c>
      <c r="K21" s="9">
        <f>SUM('Model inputs'!K89,'Model inputs'!K90,'Model inputs'!K91)</f>
        <v>300</v>
      </c>
      <c r="L21" s="9">
        <f>SUM('Model inputs'!L89,'Model inputs'!L90,'Model inputs'!L91)</f>
        <v>300</v>
      </c>
      <c r="M21" s="9">
        <f>SUM('Model inputs'!M89,'Model inputs'!M90,'Model inputs'!M91)</f>
        <v>300</v>
      </c>
      <c r="N21" s="9">
        <f>SUM('Model inputs'!N89,'Model inputs'!N90,'Model inputs'!N91)</f>
        <v>300</v>
      </c>
      <c r="O21" s="9">
        <f>SUM('Model inputs'!O89,'Model inputs'!O90,'Model inputs'!O91)</f>
        <v>300</v>
      </c>
      <c r="P21" s="9">
        <f>SUM('Model inputs'!P89,'Model inputs'!P90,'Model inputs'!P91)</f>
        <v>300</v>
      </c>
      <c r="Q21" s="9">
        <f>SUM('Model inputs'!Q89,'Model inputs'!Q90,'Model inputs'!Q91)</f>
        <v>300</v>
      </c>
      <c r="R21" s="9">
        <f>SUM('Model inputs'!R89,'Model inputs'!R90,'Model inputs'!R91)</f>
        <v>300</v>
      </c>
      <c r="S21" s="9">
        <f>SUM('Model inputs'!S89,'Model inputs'!S90,'Model inputs'!S91)</f>
        <v>300</v>
      </c>
      <c r="T21" s="9">
        <f>SUM('Model inputs'!T89,'Model inputs'!T90,'Model inputs'!T91)</f>
        <v>300</v>
      </c>
      <c r="U21" s="9">
        <f>SUM('Model inputs'!U89,'Model inputs'!U90,'Model inputs'!U91)</f>
        <v>300</v>
      </c>
      <c r="V21" s="9">
        <f>SUM('Model inputs'!V89,'Model inputs'!V90,'Model inputs'!V91)</f>
        <v>300</v>
      </c>
      <c r="W21" s="9">
        <f>SUM('Model inputs'!W89,'Model inputs'!W90,'Model inputs'!W91)</f>
        <v>300</v>
      </c>
      <c r="X21" s="9">
        <f>SUM('Model inputs'!X89,'Model inputs'!X90,'Model inputs'!X91)</f>
        <v>300</v>
      </c>
      <c r="Y21" s="9">
        <f>SUM('Model inputs'!Y89,'Model inputs'!Y90,'Model inputs'!Y91)</f>
        <v>300</v>
      </c>
      <c r="Z21" s="9">
        <f>SUM('Model inputs'!Z89,'Model inputs'!Z90,'Model inputs'!Z91)</f>
        <v>300</v>
      </c>
      <c r="AA21" s="9">
        <f>SUM('Model inputs'!AA89,'Model inputs'!AA90,'Model inputs'!AA91)</f>
        <v>0</v>
      </c>
    </row>
    <row r="22">
      <c r="A22" t="inlineStr" s="18">
        <is>
          <t xml:space="preserve">Fixed operating costs · Upshift — Upside</t>
        </is>
      </c>
      <c r="B22" s="9">
        <f>SUM('Model inputs'!B93,'Model inputs'!B94,'Model inputs'!B95)</f>
        <v>300</v>
      </c>
      <c r="D22" s="9">
        <f>SUM('Model inputs'!D93,'Model inputs'!D94,'Model inputs'!D95)</f>
        <v>300</v>
      </c>
      <c r="E22" s="9">
        <f>SUM('Model inputs'!E93,'Model inputs'!E94,'Model inputs'!E95)</f>
        <v>300</v>
      </c>
      <c r="F22" s="9">
        <f>SUM('Model inputs'!F93,'Model inputs'!F94,'Model inputs'!F95)</f>
        <v>300</v>
      </c>
      <c r="G22" s="9">
        <f>SUM('Model inputs'!G93,'Model inputs'!G94,'Model inputs'!G95)</f>
        <v>300</v>
      </c>
      <c r="H22" s="9">
        <f>SUM('Model inputs'!H93,'Model inputs'!H94,'Model inputs'!H95)</f>
        <v>300</v>
      </c>
      <c r="I22" s="9">
        <f>SUM('Model inputs'!I93,'Model inputs'!I94,'Model inputs'!I95)</f>
        <v>300</v>
      </c>
      <c r="J22" s="9">
        <f>SUM('Model inputs'!J93,'Model inputs'!J94,'Model inputs'!J95)</f>
        <v>300</v>
      </c>
      <c r="K22" s="9">
        <f>SUM('Model inputs'!K93,'Model inputs'!K94,'Model inputs'!K95)</f>
        <v>300</v>
      </c>
      <c r="L22" s="9">
        <f>SUM('Model inputs'!L93,'Model inputs'!L94,'Model inputs'!L95)</f>
        <v>300</v>
      </c>
      <c r="M22" s="9">
        <f>SUM('Model inputs'!M93,'Model inputs'!M94,'Model inputs'!M95)</f>
        <v>300</v>
      </c>
      <c r="N22" s="9">
        <f>SUM('Model inputs'!N93,'Model inputs'!N94,'Model inputs'!N95)</f>
        <v>300</v>
      </c>
      <c r="O22" s="9">
        <f>SUM('Model inputs'!O93,'Model inputs'!O94,'Model inputs'!O95)</f>
        <v>300</v>
      </c>
      <c r="P22" s="9">
        <f>SUM('Model inputs'!P93,'Model inputs'!P94,'Model inputs'!P95)</f>
        <v>300</v>
      </c>
      <c r="Q22" s="9">
        <f>SUM('Model inputs'!Q93,'Model inputs'!Q94,'Model inputs'!Q95)</f>
        <v>300</v>
      </c>
      <c r="R22" s="9">
        <f>SUM('Model inputs'!R93,'Model inputs'!R94,'Model inputs'!R95)</f>
        <v>300</v>
      </c>
      <c r="S22" s="9">
        <f>SUM('Model inputs'!S93,'Model inputs'!S94,'Model inputs'!S95)</f>
        <v>300</v>
      </c>
      <c r="T22" s="9">
        <f>SUM('Model inputs'!T93,'Model inputs'!T94,'Model inputs'!T95)</f>
        <v>300</v>
      </c>
      <c r="U22" s="9">
        <f>SUM('Model inputs'!U93,'Model inputs'!U94,'Model inputs'!U95)</f>
        <v>300</v>
      </c>
      <c r="V22" s="9">
        <f>SUM('Model inputs'!V93,'Model inputs'!V94,'Model inputs'!V95)</f>
        <v>300</v>
      </c>
      <c r="W22" s="9">
        <f>SUM('Model inputs'!W93,'Model inputs'!W94,'Model inputs'!W95)</f>
        <v>300</v>
      </c>
      <c r="X22" s="9">
        <f>SUM('Model inputs'!X93,'Model inputs'!X94,'Model inputs'!X95)</f>
        <v>300</v>
      </c>
      <c r="Y22" s="9">
        <f>SUM('Model inputs'!Y93,'Model inputs'!Y94,'Model inputs'!Y95)</f>
        <v>300</v>
      </c>
      <c r="Z22" s="9">
        <f>SUM('Model inputs'!Z93,'Model inputs'!Z94,'Model inputs'!Z95)</f>
        <v>300</v>
      </c>
      <c r="AA22" s="9">
        <f>SUM('Model inputs'!AA93,'Model inputs'!AA94,'Model inputs'!AA95)</f>
        <v>0</v>
      </c>
    </row>
    <row r="23">
      <c r="A23" t="inlineStr" s="18">
        <is>
          <t xml:space="preserve">Forecast month · Base and upside comparison · Main Scenario</t>
        </is>
      </c>
      <c r="B23" s="10">
        <f>DATEDIF(DATE(2026,10,1),DATE(2028,9,1),"M")+1</f>
        <v>24</v>
      </c>
      <c r="D23" s="10">
        <f>DATEDIF(DATE(2026,10,1),DATE(2026,10,1),"M")+1</f>
        <v>1</v>
      </c>
      <c r="E23" s="10">
        <f>DATEDIF(DATE(2026,10,1),DATE(2026,11,1),"M")+1</f>
        <v>2</v>
      </c>
      <c r="F23" s="10">
        <f>DATEDIF(DATE(2026,10,1),DATE(2026,12,1),"M")+1</f>
        <v>3</v>
      </c>
      <c r="G23" s="10">
        <f>DATEDIF(DATE(2026,10,1),DATE(2027,1,1),"M")+1</f>
        <v>4</v>
      </c>
      <c r="H23" s="10">
        <f>DATEDIF(DATE(2026,10,1),DATE(2027,2,1),"M")+1</f>
        <v>5</v>
      </c>
      <c r="I23" s="10">
        <f>DATEDIF(DATE(2026,10,1),DATE(2027,3,1),"M")+1</f>
        <v>6</v>
      </c>
      <c r="J23" s="10">
        <f>DATEDIF(DATE(2026,10,1),DATE(2027,4,1),"M")+1</f>
        <v>7</v>
      </c>
      <c r="K23" s="10">
        <f>DATEDIF(DATE(2026,10,1),DATE(2027,5,1),"M")+1</f>
        <v>8</v>
      </c>
      <c r="L23" s="10">
        <f>DATEDIF(DATE(2026,10,1),DATE(2027,6,1),"M")+1</f>
        <v>9</v>
      </c>
      <c r="M23" s="10">
        <f>DATEDIF(DATE(2026,10,1),DATE(2027,7,1),"M")+1</f>
        <v>10</v>
      </c>
      <c r="N23" s="10">
        <f>DATEDIF(DATE(2026,10,1),DATE(2027,8,1),"M")+1</f>
        <v>11</v>
      </c>
      <c r="O23" s="10">
        <f>DATEDIF(DATE(2026,10,1),DATE(2027,9,1),"M")+1</f>
        <v>12</v>
      </c>
      <c r="P23" s="10">
        <f>DATEDIF(DATE(2026,10,1),DATE(2027,10,1),"M")+1</f>
        <v>13</v>
      </c>
      <c r="Q23" s="10">
        <f>DATEDIF(DATE(2026,10,1),DATE(2027,11,1),"M")+1</f>
        <v>14</v>
      </c>
      <c r="R23" s="10">
        <f>DATEDIF(DATE(2026,10,1),DATE(2027,12,1),"M")+1</f>
        <v>15</v>
      </c>
      <c r="S23" s="10">
        <f>DATEDIF(DATE(2026,10,1),DATE(2028,1,1),"M")+1</f>
        <v>16</v>
      </c>
      <c r="T23" s="10">
        <f>DATEDIF(DATE(2026,10,1),DATE(2028,2,1),"M")+1</f>
        <v>17</v>
      </c>
      <c r="U23" s="10">
        <f>DATEDIF(DATE(2026,10,1),DATE(2028,3,1),"M")+1</f>
        <v>18</v>
      </c>
      <c r="V23" s="10">
        <f>DATEDIF(DATE(2026,10,1),DATE(2028,4,1),"M")+1</f>
        <v>19</v>
      </c>
      <c r="W23" s="10">
        <f>DATEDIF(DATE(2026,10,1),DATE(2028,5,1),"M")+1</f>
        <v>20</v>
      </c>
      <c r="X23" s="10">
        <f>DATEDIF(DATE(2026,10,1),DATE(2028,6,1),"M")+1</f>
        <v>21</v>
      </c>
      <c r="Y23" s="10">
        <f>DATEDIF(DATE(2026,10,1),DATE(2028,7,1),"M")+1</f>
        <v>22</v>
      </c>
      <c r="Z23" s="10">
        <f>DATEDIF(DATE(2026,10,1),DATE(2028,8,1),"M")+1</f>
        <v>23</v>
      </c>
      <c r="AA23" s="10">
        <v>0</v>
      </c>
    </row>
    <row r="24">
      <c r="A24" t="inlineStr" s="18">
        <is>
          <t xml:space="preserve">Forecast month · Upshift — Upside</t>
        </is>
      </c>
      <c r="B24" s="10">
        <f>DATEDIF(DATE(2026,10,1),DATE(2028,9,1),"M")+1</f>
        <v>24</v>
      </c>
      <c r="D24" s="10">
        <f>DATEDIF(DATE(2026,10,1),DATE(2026,10,1),"M")+1</f>
        <v>1</v>
      </c>
      <c r="E24" s="10">
        <f>DATEDIF(DATE(2026,10,1),DATE(2026,11,1),"M")+1</f>
        <v>2</v>
      </c>
      <c r="F24" s="10">
        <f>DATEDIF(DATE(2026,10,1),DATE(2026,12,1),"M")+1</f>
        <v>3</v>
      </c>
      <c r="G24" s="10">
        <f>DATEDIF(DATE(2026,10,1),DATE(2027,1,1),"M")+1</f>
        <v>4</v>
      </c>
      <c r="H24" s="10">
        <f>DATEDIF(DATE(2026,10,1),DATE(2027,2,1),"M")+1</f>
        <v>5</v>
      </c>
      <c r="I24" s="10">
        <f>DATEDIF(DATE(2026,10,1),DATE(2027,3,1),"M")+1</f>
        <v>6</v>
      </c>
      <c r="J24" s="10">
        <f>DATEDIF(DATE(2026,10,1),DATE(2027,4,1),"M")+1</f>
        <v>7</v>
      </c>
      <c r="K24" s="10">
        <f>DATEDIF(DATE(2026,10,1),DATE(2027,5,1),"M")+1</f>
        <v>8</v>
      </c>
      <c r="L24" s="10">
        <f>DATEDIF(DATE(2026,10,1),DATE(2027,6,1),"M")+1</f>
        <v>9</v>
      </c>
      <c r="M24" s="10">
        <f>DATEDIF(DATE(2026,10,1),DATE(2027,7,1),"M")+1</f>
        <v>10</v>
      </c>
      <c r="N24" s="10">
        <f>DATEDIF(DATE(2026,10,1),DATE(2027,8,1),"M")+1</f>
        <v>11</v>
      </c>
      <c r="O24" s="10">
        <f>DATEDIF(DATE(2026,10,1),DATE(2027,9,1),"M")+1</f>
        <v>12</v>
      </c>
      <c r="P24" s="10">
        <f>DATEDIF(DATE(2026,10,1),DATE(2027,10,1),"M")+1</f>
        <v>13</v>
      </c>
      <c r="Q24" s="10">
        <f>DATEDIF(DATE(2026,10,1),DATE(2027,11,1),"M")+1</f>
        <v>14</v>
      </c>
      <c r="R24" s="10">
        <f>DATEDIF(DATE(2026,10,1),DATE(2027,12,1),"M")+1</f>
        <v>15</v>
      </c>
      <c r="S24" s="10">
        <f>DATEDIF(DATE(2026,10,1),DATE(2028,1,1),"M")+1</f>
        <v>16</v>
      </c>
      <c r="T24" s="10">
        <f>DATEDIF(DATE(2026,10,1),DATE(2028,2,1),"M")+1</f>
        <v>17</v>
      </c>
      <c r="U24" s="10">
        <f>DATEDIF(DATE(2026,10,1),DATE(2028,3,1),"M")+1</f>
        <v>18</v>
      </c>
      <c r="V24" s="10">
        <f>DATEDIF(DATE(2026,10,1),DATE(2028,4,1),"M")+1</f>
        <v>19</v>
      </c>
      <c r="W24" s="10">
        <f>DATEDIF(DATE(2026,10,1),DATE(2028,5,1),"M")+1</f>
        <v>20</v>
      </c>
      <c r="X24" s="10">
        <f>DATEDIF(DATE(2026,10,1),DATE(2028,6,1),"M")+1</f>
        <v>21</v>
      </c>
      <c r="Y24" s="10">
        <f>DATEDIF(DATE(2026,10,1),DATE(2028,7,1),"M")+1</f>
        <v>22</v>
      </c>
      <c r="Z24" s="10">
        <f>DATEDIF(DATE(2026,10,1),DATE(2028,8,1),"M")+1</f>
        <v>23</v>
      </c>
      <c r="AA24" s="10">
        <v>0</v>
      </c>
    </row>
    <row r="25">
      <c r="A25" t="inlineStr" s="18">
        <is>
          <t xml:space="preserve">Founder funding required to date · Decision summary · Main Scenario</t>
        </is>
      </c>
      <c r="B25" s="9">
        <f>MAX(IF(IF(IF(ISERROR('Model inputs'!B23=1),'Model inputs'!B23=1,IF('Model inputs'!B23="","",'Model inputs'!B23=1))="",FALSE,IF(ISERROR('Model inputs'!B23=1),'Model inputs'!B23=1,IF('Model inputs'!B23="","",'Model inputs'!B23=1))),0,IF('Model inputs'!Z25="","",'Model inputs'!Z25)),-'Model inputs'!B68,0)</f>
        <v>144</v>
      </c>
      <c r="D25" s="9">
        <f>MAX(IF(IF(IF(ISERROR('Model inputs'!D23=1),'Model inputs'!D23=1,IF('Model inputs'!D23="","",'Model inputs'!D23=1))="",FALSE,IF(ISERROR('Model inputs'!D23=1),'Model inputs'!D23=1,IF('Model inputs'!D23="","",'Model inputs'!D23=1))),0,IF('Model inputs'!AA25="","",'Model inputs'!AA25)),-'Model inputs'!D68,0)</f>
        <v>144</v>
      </c>
      <c r="E25" s="9">
        <f>MAX(IF(IF(IF(ISERROR('Model inputs'!E23=1),'Model inputs'!E23=1,IF('Model inputs'!E23="","",'Model inputs'!E23=1))="",FALSE,IF(ISERROR('Model inputs'!E23=1),'Model inputs'!E23=1,IF('Model inputs'!E23="","",'Model inputs'!E23=1))),0,IF('Model inputs'!D25="","",'Model inputs'!D25)),-'Model inputs'!E68,0)</f>
        <v>144</v>
      </c>
      <c r="F25" s="9">
        <f>MAX(IF(IF(IF(ISERROR('Model inputs'!F23=1),'Model inputs'!F23=1,IF('Model inputs'!F23="","",'Model inputs'!F23=1))="",FALSE,IF(ISERROR('Model inputs'!F23=1),'Model inputs'!F23=1,IF('Model inputs'!F23="","",'Model inputs'!F23=1))),0,IF('Model inputs'!E25="","",'Model inputs'!E25)),-'Model inputs'!F68,0)</f>
        <v>144</v>
      </c>
      <c r="G25" s="9">
        <f>MAX(IF(IF(IF(ISERROR('Model inputs'!G23=1),'Model inputs'!G23=1,IF('Model inputs'!G23="","",'Model inputs'!G23=1))="",FALSE,IF(ISERROR('Model inputs'!G23=1),'Model inputs'!G23=1,IF('Model inputs'!G23="","",'Model inputs'!G23=1))),0,IF('Model inputs'!F25="","",'Model inputs'!F25)),-'Model inputs'!G68,0)</f>
        <v>144</v>
      </c>
      <c r="H25" s="9">
        <f>MAX(IF(IF(IF(ISERROR('Model inputs'!H23=1),'Model inputs'!H23=1,IF('Model inputs'!H23="","",'Model inputs'!H23=1))="",FALSE,IF(ISERROR('Model inputs'!H23=1),'Model inputs'!H23=1,IF('Model inputs'!H23="","",'Model inputs'!H23=1))),0,IF('Model inputs'!G25="","",'Model inputs'!G25)),-'Model inputs'!H68,0)</f>
        <v>144</v>
      </c>
      <c r="I25" s="9">
        <f>MAX(IF(IF(IF(ISERROR('Model inputs'!I23=1),'Model inputs'!I23=1,IF('Model inputs'!I23="","",'Model inputs'!I23=1))="",FALSE,IF(ISERROR('Model inputs'!I23=1),'Model inputs'!I23=1,IF('Model inputs'!I23="","",'Model inputs'!I23=1))),0,IF('Model inputs'!H25="","",'Model inputs'!H25)),-'Model inputs'!I68,0)</f>
        <v>144</v>
      </c>
      <c r="J25" s="9">
        <f>MAX(IF(IF(IF(ISERROR('Model inputs'!J23=1),'Model inputs'!J23=1,IF('Model inputs'!J23="","",'Model inputs'!J23=1))="",FALSE,IF(ISERROR('Model inputs'!J23=1),'Model inputs'!J23=1,IF('Model inputs'!J23="","",'Model inputs'!J23=1))),0,IF('Model inputs'!I25="","",'Model inputs'!I25)),-'Model inputs'!J68,0)</f>
        <v>144</v>
      </c>
      <c r="K25" s="9">
        <f>MAX(IF(IF(IF(ISERROR('Model inputs'!K23=1),'Model inputs'!K23=1,IF('Model inputs'!K23="","",'Model inputs'!K23=1))="",FALSE,IF(ISERROR('Model inputs'!K23=1),'Model inputs'!K23=1,IF('Model inputs'!K23="","",'Model inputs'!K23=1))),0,IF('Model inputs'!J25="","",'Model inputs'!J25)),-'Model inputs'!K68,0)</f>
        <v>144</v>
      </c>
      <c r="L25" s="9">
        <f>MAX(IF(IF(IF(ISERROR('Model inputs'!L23=1),'Model inputs'!L23=1,IF('Model inputs'!L23="","",'Model inputs'!L23=1))="",FALSE,IF(ISERROR('Model inputs'!L23=1),'Model inputs'!L23=1,IF('Model inputs'!L23="","",'Model inputs'!L23=1))),0,IF('Model inputs'!K25="","",'Model inputs'!K25)),-'Model inputs'!L68,0)</f>
        <v>144</v>
      </c>
      <c r="M25" s="9">
        <f>MAX(IF(IF(IF(ISERROR('Model inputs'!M23=1),'Model inputs'!M23=1,IF('Model inputs'!M23="","",'Model inputs'!M23=1))="",FALSE,IF(ISERROR('Model inputs'!M23=1),'Model inputs'!M23=1,IF('Model inputs'!M23="","",'Model inputs'!M23=1))),0,IF('Model inputs'!L25="","",'Model inputs'!L25)),-'Model inputs'!M68,0)</f>
        <v>144</v>
      </c>
      <c r="N25" s="9">
        <f>MAX(IF(IF(IF(ISERROR('Model inputs'!N23=1),'Model inputs'!N23=1,IF('Model inputs'!N23="","",'Model inputs'!N23=1))="",FALSE,IF(ISERROR('Model inputs'!N23=1),'Model inputs'!N23=1,IF('Model inputs'!N23="","",'Model inputs'!N23=1))),0,IF('Model inputs'!M25="","",'Model inputs'!M25)),-'Model inputs'!N68,0)</f>
        <v>144</v>
      </c>
      <c r="O25" s="9">
        <f>MAX(IF(IF(IF(ISERROR('Model inputs'!O23=1),'Model inputs'!O23=1,IF('Model inputs'!O23="","",'Model inputs'!O23=1))="",FALSE,IF(ISERROR('Model inputs'!O23=1),'Model inputs'!O23=1,IF('Model inputs'!O23="","",'Model inputs'!O23=1))),0,IF('Model inputs'!N25="","",'Model inputs'!N25)),-'Model inputs'!O68,0)</f>
        <v>144</v>
      </c>
      <c r="P25" s="9">
        <f>MAX(IF(IF(IF(ISERROR('Model inputs'!P23=1),'Model inputs'!P23=1,IF('Model inputs'!P23="","",'Model inputs'!P23=1))="",FALSE,IF(ISERROR('Model inputs'!P23=1),'Model inputs'!P23=1,IF('Model inputs'!P23="","",'Model inputs'!P23=1))),0,IF('Model inputs'!O25="","",'Model inputs'!O25)),-'Model inputs'!P68,0)</f>
        <v>144</v>
      </c>
      <c r="Q25" s="9">
        <f>MAX(IF(IF(IF(ISERROR('Model inputs'!Q23=1),'Model inputs'!Q23=1,IF('Model inputs'!Q23="","",'Model inputs'!Q23=1))="",FALSE,IF(ISERROR('Model inputs'!Q23=1),'Model inputs'!Q23=1,IF('Model inputs'!Q23="","",'Model inputs'!Q23=1))),0,IF('Model inputs'!P25="","",'Model inputs'!P25)),-'Model inputs'!Q68,0)</f>
        <v>144</v>
      </c>
      <c r="R25" s="9">
        <f>MAX(IF(IF(IF(ISERROR('Model inputs'!R23=1),'Model inputs'!R23=1,IF('Model inputs'!R23="","",'Model inputs'!R23=1))="",FALSE,IF(ISERROR('Model inputs'!R23=1),'Model inputs'!R23=1,IF('Model inputs'!R23="","",'Model inputs'!R23=1))),0,IF('Model inputs'!Q25="","",'Model inputs'!Q25)),-'Model inputs'!R68,0)</f>
        <v>144</v>
      </c>
      <c r="S25" s="9">
        <f>MAX(IF(IF(IF(ISERROR('Model inputs'!S23=1),'Model inputs'!S23=1,IF('Model inputs'!S23="","",'Model inputs'!S23=1))="",FALSE,IF(ISERROR('Model inputs'!S23=1),'Model inputs'!S23=1,IF('Model inputs'!S23="","",'Model inputs'!S23=1))),0,IF('Model inputs'!R25="","",'Model inputs'!R25)),-'Model inputs'!S68,0)</f>
        <v>144</v>
      </c>
      <c r="T25" s="9">
        <f>MAX(IF(IF(IF(ISERROR('Model inputs'!T23=1),'Model inputs'!T23=1,IF('Model inputs'!T23="","",'Model inputs'!T23=1))="",FALSE,IF(ISERROR('Model inputs'!T23=1),'Model inputs'!T23=1,IF('Model inputs'!T23="","",'Model inputs'!T23=1))),0,IF('Model inputs'!S25="","",'Model inputs'!S25)),-'Model inputs'!T68,0)</f>
        <v>144</v>
      </c>
      <c r="U25" s="9">
        <f>MAX(IF(IF(IF(ISERROR('Model inputs'!U23=1),'Model inputs'!U23=1,IF('Model inputs'!U23="","",'Model inputs'!U23=1))="",FALSE,IF(ISERROR('Model inputs'!U23=1),'Model inputs'!U23=1,IF('Model inputs'!U23="","",'Model inputs'!U23=1))),0,IF('Model inputs'!T25="","",'Model inputs'!T25)),-'Model inputs'!U68,0)</f>
        <v>144</v>
      </c>
      <c r="V25" s="9">
        <f>MAX(IF(IF(IF(ISERROR('Model inputs'!V23=1),'Model inputs'!V23=1,IF('Model inputs'!V23="","",'Model inputs'!V23=1))="",FALSE,IF(ISERROR('Model inputs'!V23=1),'Model inputs'!V23=1,IF('Model inputs'!V23="","",'Model inputs'!V23=1))),0,IF('Model inputs'!U25="","",'Model inputs'!U25)),-'Model inputs'!V68,0)</f>
        <v>144</v>
      </c>
      <c r="W25" s="9">
        <f>MAX(IF(IF(IF(ISERROR('Model inputs'!W23=1),'Model inputs'!W23=1,IF('Model inputs'!W23="","",'Model inputs'!W23=1))="",FALSE,IF(ISERROR('Model inputs'!W23=1),'Model inputs'!W23=1,IF('Model inputs'!W23="","",'Model inputs'!W23=1))),0,IF('Model inputs'!V25="","",'Model inputs'!V25)),-'Model inputs'!W68,0)</f>
        <v>144</v>
      </c>
      <c r="X25" s="9">
        <f>MAX(IF(IF(IF(ISERROR('Model inputs'!X23=1),'Model inputs'!X23=1,IF('Model inputs'!X23="","",'Model inputs'!X23=1))="",FALSE,IF(ISERROR('Model inputs'!X23=1),'Model inputs'!X23=1,IF('Model inputs'!X23="","",'Model inputs'!X23=1))),0,IF('Model inputs'!W25="","",'Model inputs'!W25)),-'Model inputs'!X68,0)</f>
        <v>144</v>
      </c>
      <c r="Y25" s="9">
        <f>MAX(IF(IF(IF(ISERROR('Model inputs'!Y23=1),'Model inputs'!Y23=1,IF('Model inputs'!Y23="","",'Model inputs'!Y23=1))="",FALSE,IF(ISERROR('Model inputs'!Y23=1),'Model inputs'!Y23=1,IF('Model inputs'!Y23="","",'Model inputs'!Y23=1))),0,IF('Model inputs'!X25="","",'Model inputs'!X25)),-'Model inputs'!Y68,0)</f>
        <v>144</v>
      </c>
      <c r="Z25" s="9">
        <f>MAX(IF(IF(IF(ISERROR('Model inputs'!Z23=1),'Model inputs'!Z23=1,IF('Model inputs'!Z23="","",'Model inputs'!Z23=1))="",FALSE,IF(ISERROR('Model inputs'!Z23=1),'Model inputs'!Z23=1,IF('Model inputs'!Z23="","",'Model inputs'!Z23=1))),0,IF('Model inputs'!Y25="","",'Model inputs'!Y25)),-'Model inputs'!Z68,0)</f>
        <v>144</v>
      </c>
      <c r="AA25" s="9">
        <v>0</v>
      </c>
    </row>
    <row r="26">
      <c r="A26" t="inlineStr" s="18">
        <is>
          <t xml:space="preserve">Founder funding required to date · Upshift — Upside</t>
        </is>
      </c>
      <c r="B26" s="9">
        <f>MAX(IF(IF(IF(ISERROR('Model inputs'!B24=1),'Model inputs'!B24=1,IF('Model inputs'!B24="","",'Model inputs'!B24=1))="",FALSE,IF(ISERROR('Model inputs'!B24=1),'Model inputs'!B24=1,IF('Model inputs'!B24="","",'Model inputs'!B24=1))),0,IF('Model inputs'!Z26="","",'Model inputs'!Z26)),-'Model inputs'!B69,0)</f>
        <v>0</v>
      </c>
      <c r="D26" s="9">
        <f>MAX(IF(IF(IF(ISERROR('Model inputs'!D24=1),'Model inputs'!D24=1,IF('Model inputs'!D24="","",'Model inputs'!D24=1))="",FALSE,IF(ISERROR('Model inputs'!D24=1),'Model inputs'!D24=1,IF('Model inputs'!D24="","",'Model inputs'!D24=1))),0,IF('Model inputs'!AA26="","",'Model inputs'!AA26)),-'Model inputs'!D69,0)</f>
        <v>0</v>
      </c>
      <c r="E26" s="9">
        <f>MAX(IF(IF(IF(ISERROR('Model inputs'!E24=1),'Model inputs'!E24=1,IF('Model inputs'!E24="","",'Model inputs'!E24=1))="",FALSE,IF(ISERROR('Model inputs'!E24=1),'Model inputs'!E24=1,IF('Model inputs'!E24="","",'Model inputs'!E24=1))),0,IF('Model inputs'!D26="","",'Model inputs'!D26)),-'Model inputs'!E69,0)</f>
        <v>0</v>
      </c>
      <c r="F26" s="9">
        <f>MAX(IF(IF(IF(ISERROR('Model inputs'!F24=1),'Model inputs'!F24=1,IF('Model inputs'!F24="","",'Model inputs'!F24=1))="",FALSE,IF(ISERROR('Model inputs'!F24=1),'Model inputs'!F24=1,IF('Model inputs'!F24="","",'Model inputs'!F24=1))),0,IF('Model inputs'!E26="","",'Model inputs'!E26)),-'Model inputs'!F69,0)</f>
        <v>0</v>
      </c>
      <c r="G26" s="9">
        <f>MAX(IF(IF(IF(ISERROR('Model inputs'!G24=1),'Model inputs'!G24=1,IF('Model inputs'!G24="","",'Model inputs'!G24=1))="",FALSE,IF(ISERROR('Model inputs'!G24=1),'Model inputs'!G24=1,IF('Model inputs'!G24="","",'Model inputs'!G24=1))),0,IF('Model inputs'!F26="","",'Model inputs'!F26)),-'Model inputs'!G69,0)</f>
        <v>0</v>
      </c>
      <c r="H26" s="9">
        <f>MAX(IF(IF(IF(ISERROR('Model inputs'!H24=1),'Model inputs'!H24=1,IF('Model inputs'!H24="","",'Model inputs'!H24=1))="",FALSE,IF(ISERROR('Model inputs'!H24=1),'Model inputs'!H24=1,IF('Model inputs'!H24="","",'Model inputs'!H24=1))),0,IF('Model inputs'!G26="","",'Model inputs'!G26)),-'Model inputs'!H69,0)</f>
        <v>0</v>
      </c>
      <c r="I26" s="9">
        <f>MAX(IF(IF(IF(ISERROR('Model inputs'!I24=1),'Model inputs'!I24=1,IF('Model inputs'!I24="","",'Model inputs'!I24=1))="",FALSE,IF(ISERROR('Model inputs'!I24=1),'Model inputs'!I24=1,IF('Model inputs'!I24="","",'Model inputs'!I24=1))),0,IF('Model inputs'!H26="","",'Model inputs'!H26)),-'Model inputs'!I69,0)</f>
        <v>0</v>
      </c>
      <c r="J26" s="9">
        <f>MAX(IF(IF(IF(ISERROR('Model inputs'!J24=1),'Model inputs'!J24=1,IF('Model inputs'!J24="","",'Model inputs'!J24=1))="",FALSE,IF(ISERROR('Model inputs'!J24=1),'Model inputs'!J24=1,IF('Model inputs'!J24="","",'Model inputs'!J24=1))),0,IF('Model inputs'!I26="","",'Model inputs'!I26)),-'Model inputs'!J69,0)</f>
        <v>0</v>
      </c>
      <c r="K26" s="9">
        <f>MAX(IF(IF(IF(ISERROR('Model inputs'!K24=1),'Model inputs'!K24=1,IF('Model inputs'!K24="","",'Model inputs'!K24=1))="",FALSE,IF(ISERROR('Model inputs'!K24=1),'Model inputs'!K24=1,IF('Model inputs'!K24="","",'Model inputs'!K24=1))),0,IF('Model inputs'!J26="","",'Model inputs'!J26)),-'Model inputs'!K69,0)</f>
        <v>0</v>
      </c>
      <c r="L26" s="9">
        <f>MAX(IF(IF(IF(ISERROR('Model inputs'!L24=1),'Model inputs'!L24=1,IF('Model inputs'!L24="","",'Model inputs'!L24=1))="",FALSE,IF(ISERROR('Model inputs'!L24=1),'Model inputs'!L24=1,IF('Model inputs'!L24="","",'Model inputs'!L24=1))),0,IF('Model inputs'!K26="","",'Model inputs'!K26)),-'Model inputs'!L69,0)</f>
        <v>0</v>
      </c>
      <c r="M26" s="9">
        <f>MAX(IF(IF(IF(ISERROR('Model inputs'!M24=1),'Model inputs'!M24=1,IF('Model inputs'!M24="","",'Model inputs'!M24=1))="",FALSE,IF(ISERROR('Model inputs'!M24=1),'Model inputs'!M24=1,IF('Model inputs'!M24="","",'Model inputs'!M24=1))),0,IF('Model inputs'!L26="","",'Model inputs'!L26)),-'Model inputs'!M69,0)</f>
        <v>0</v>
      </c>
      <c r="N26" s="9">
        <f>MAX(IF(IF(IF(ISERROR('Model inputs'!N24=1),'Model inputs'!N24=1,IF('Model inputs'!N24="","",'Model inputs'!N24=1))="",FALSE,IF(ISERROR('Model inputs'!N24=1),'Model inputs'!N24=1,IF('Model inputs'!N24="","",'Model inputs'!N24=1))),0,IF('Model inputs'!M26="","",'Model inputs'!M26)),-'Model inputs'!N69,0)</f>
        <v>0</v>
      </c>
      <c r="O26" s="9">
        <f>MAX(IF(IF(IF(ISERROR('Model inputs'!O24=1),'Model inputs'!O24=1,IF('Model inputs'!O24="","",'Model inputs'!O24=1))="",FALSE,IF(ISERROR('Model inputs'!O24=1),'Model inputs'!O24=1,IF('Model inputs'!O24="","",'Model inputs'!O24=1))),0,IF('Model inputs'!N26="","",'Model inputs'!N26)),-'Model inputs'!O69,0)</f>
        <v>0</v>
      </c>
      <c r="P26" s="9">
        <f>MAX(IF(IF(IF(ISERROR('Model inputs'!P24=1),'Model inputs'!P24=1,IF('Model inputs'!P24="","",'Model inputs'!P24=1))="",FALSE,IF(ISERROR('Model inputs'!P24=1),'Model inputs'!P24=1,IF('Model inputs'!P24="","",'Model inputs'!P24=1))),0,IF('Model inputs'!O26="","",'Model inputs'!O26)),-'Model inputs'!P69,0)</f>
        <v>0</v>
      </c>
      <c r="Q26" s="9">
        <f>MAX(IF(IF(IF(ISERROR('Model inputs'!Q24=1),'Model inputs'!Q24=1,IF('Model inputs'!Q24="","",'Model inputs'!Q24=1))="",FALSE,IF(ISERROR('Model inputs'!Q24=1),'Model inputs'!Q24=1,IF('Model inputs'!Q24="","",'Model inputs'!Q24=1))),0,IF('Model inputs'!P26="","",'Model inputs'!P26)),-'Model inputs'!Q69,0)</f>
        <v>0</v>
      </c>
      <c r="R26" s="9">
        <f>MAX(IF(IF(IF(ISERROR('Model inputs'!R24=1),'Model inputs'!R24=1,IF('Model inputs'!R24="","",'Model inputs'!R24=1))="",FALSE,IF(ISERROR('Model inputs'!R24=1),'Model inputs'!R24=1,IF('Model inputs'!R24="","",'Model inputs'!R24=1))),0,IF('Model inputs'!Q26="","",'Model inputs'!Q26)),-'Model inputs'!R69,0)</f>
        <v>0</v>
      </c>
      <c r="S26" s="9">
        <f>MAX(IF(IF(IF(ISERROR('Model inputs'!S24=1),'Model inputs'!S24=1,IF('Model inputs'!S24="","",'Model inputs'!S24=1))="",FALSE,IF(ISERROR('Model inputs'!S24=1),'Model inputs'!S24=1,IF('Model inputs'!S24="","",'Model inputs'!S24=1))),0,IF('Model inputs'!R26="","",'Model inputs'!R26)),-'Model inputs'!S69,0)</f>
        <v>0</v>
      </c>
      <c r="T26" s="9">
        <f>MAX(IF(IF(IF(ISERROR('Model inputs'!T24=1),'Model inputs'!T24=1,IF('Model inputs'!T24="","",'Model inputs'!T24=1))="",FALSE,IF(ISERROR('Model inputs'!T24=1),'Model inputs'!T24=1,IF('Model inputs'!T24="","",'Model inputs'!T24=1))),0,IF('Model inputs'!S26="","",'Model inputs'!S26)),-'Model inputs'!T69,0)</f>
        <v>0</v>
      </c>
      <c r="U26" s="9">
        <f>MAX(IF(IF(IF(ISERROR('Model inputs'!U24=1),'Model inputs'!U24=1,IF('Model inputs'!U24="","",'Model inputs'!U24=1))="",FALSE,IF(ISERROR('Model inputs'!U24=1),'Model inputs'!U24=1,IF('Model inputs'!U24="","",'Model inputs'!U24=1))),0,IF('Model inputs'!T26="","",'Model inputs'!T26)),-'Model inputs'!U69,0)</f>
        <v>0</v>
      </c>
      <c r="V26" s="9">
        <f>MAX(IF(IF(IF(ISERROR('Model inputs'!V24=1),'Model inputs'!V24=1,IF('Model inputs'!V24="","",'Model inputs'!V24=1))="",FALSE,IF(ISERROR('Model inputs'!V24=1),'Model inputs'!V24=1,IF('Model inputs'!V24="","",'Model inputs'!V24=1))),0,IF('Model inputs'!U26="","",'Model inputs'!U26)),-'Model inputs'!V69,0)</f>
        <v>0</v>
      </c>
      <c r="W26" s="9">
        <f>MAX(IF(IF(IF(ISERROR('Model inputs'!W24=1),'Model inputs'!W24=1,IF('Model inputs'!W24="","",'Model inputs'!W24=1))="",FALSE,IF(ISERROR('Model inputs'!W24=1),'Model inputs'!W24=1,IF('Model inputs'!W24="","",'Model inputs'!W24=1))),0,IF('Model inputs'!V26="","",'Model inputs'!V26)),-'Model inputs'!W69,0)</f>
        <v>0</v>
      </c>
      <c r="X26" s="9">
        <f>MAX(IF(IF(IF(ISERROR('Model inputs'!X24=1),'Model inputs'!X24=1,IF('Model inputs'!X24="","",'Model inputs'!X24=1))="",FALSE,IF(ISERROR('Model inputs'!X24=1),'Model inputs'!X24=1,IF('Model inputs'!X24="","",'Model inputs'!X24=1))),0,IF('Model inputs'!W26="","",'Model inputs'!W26)),-'Model inputs'!X69,0)</f>
        <v>0</v>
      </c>
      <c r="Y26" s="9">
        <f>MAX(IF(IF(IF(ISERROR('Model inputs'!Y24=1),'Model inputs'!Y24=1,IF('Model inputs'!Y24="","",'Model inputs'!Y24=1))="",FALSE,IF(ISERROR('Model inputs'!Y24=1),'Model inputs'!Y24=1,IF('Model inputs'!Y24="","",'Model inputs'!Y24=1))),0,IF('Model inputs'!X26="","",'Model inputs'!X26)),-'Model inputs'!Y69,0)</f>
        <v>0</v>
      </c>
      <c r="Z26" s="9">
        <f>MAX(IF(IF(IF(ISERROR('Model inputs'!Z24=1),'Model inputs'!Z24=1,IF('Model inputs'!Z24="","",'Model inputs'!Z24=1))="",FALSE,IF(ISERROR('Model inputs'!Z24=1),'Model inputs'!Z24=1,IF('Model inputs'!Z24="","",'Model inputs'!Z24=1))),0,IF('Model inputs'!Y26="","",'Model inputs'!Y26)),-'Model inputs'!Z69,0)</f>
        <v>0</v>
      </c>
      <c r="AA26" s="9">
        <v>0</v>
      </c>
    </row>
    <row r="27">
      <c r="A27" t="inlineStr" s="18">
        <is>
          <t xml:space="preserve">Founder monthly salary</t>
        </is>
      </c>
      <c r="C27" s="14">
        <v>0</v>
      </c>
    </row>
    <row r="28" outlineLevel="1">
      <c r="A28" t="inlineStr" s="19">
        <is>
          <t xml:space="preserve">Founder monthly salary &gt; Harsh — founder</t>
        </is>
      </c>
      <c r="C28" s="9">
        <f>0</f>
        <v>0</v>
      </c>
    </row>
    <row r="29">
      <c r="A29" t="inlineStr" s="18">
        <is>
          <t xml:space="preserve">Founder payroll · Main Scenario</t>
        </is>
      </c>
      <c r="B29" s="9">
        <f>SUM('Model inputs'!B130)</f>
        <v>0</v>
      </c>
      <c r="D29" s="9">
        <f>SUM('Model inputs'!D130)</f>
        <v>0</v>
      </c>
      <c r="E29" s="9">
        <f>SUM('Model inputs'!E130)</f>
        <v>0</v>
      </c>
      <c r="F29" s="9">
        <f>SUM('Model inputs'!F130)</f>
        <v>0</v>
      </c>
      <c r="G29" s="9">
        <f>SUM('Model inputs'!G130)</f>
        <v>0</v>
      </c>
      <c r="H29" s="9">
        <f>SUM('Model inputs'!H130)</f>
        <v>0</v>
      </c>
      <c r="I29" s="9">
        <f>SUM('Model inputs'!I130)</f>
        <v>0</v>
      </c>
      <c r="J29" s="9">
        <f>SUM('Model inputs'!J130)</f>
        <v>0</v>
      </c>
      <c r="K29" s="9">
        <f>SUM('Model inputs'!K130)</f>
        <v>0</v>
      </c>
      <c r="L29" s="9">
        <f>SUM('Model inputs'!L130)</f>
        <v>0</v>
      </c>
      <c r="M29" s="9">
        <f>SUM('Model inputs'!M130)</f>
        <v>0</v>
      </c>
      <c r="N29" s="9">
        <f>SUM('Model inputs'!N130)</f>
        <v>0</v>
      </c>
      <c r="O29" s="9">
        <f>SUM('Model inputs'!O130)</f>
        <v>0</v>
      </c>
      <c r="P29" s="9">
        <f>SUM('Model inputs'!P130)</f>
        <v>0</v>
      </c>
      <c r="Q29" s="9">
        <f>SUM('Model inputs'!Q130)</f>
        <v>0</v>
      </c>
      <c r="R29" s="9">
        <f>SUM('Model inputs'!R130)</f>
        <v>0</v>
      </c>
      <c r="S29" s="9">
        <f>SUM('Model inputs'!S130)</f>
        <v>0</v>
      </c>
      <c r="T29" s="9">
        <f>SUM('Model inputs'!T130)</f>
        <v>0</v>
      </c>
      <c r="U29" s="9">
        <f>SUM('Model inputs'!U130)</f>
        <v>0</v>
      </c>
      <c r="V29" s="9">
        <f>SUM('Model inputs'!V130)</f>
        <v>0</v>
      </c>
      <c r="W29" s="9">
        <f>SUM('Model inputs'!W130)</f>
        <v>0</v>
      </c>
      <c r="X29" s="9">
        <f>SUM('Model inputs'!X130)</f>
        <v>0</v>
      </c>
      <c r="Y29" s="9">
        <f>SUM('Model inputs'!Y130)</f>
        <v>0</v>
      </c>
      <c r="Z29" s="9">
        <f>SUM('Model inputs'!Z130)</f>
        <v>0</v>
      </c>
      <c r="AA29" s="9">
        <f>SUM('Model inputs'!AA130)</f>
        <v>0</v>
      </c>
    </row>
    <row r="30">
      <c r="A30" t="inlineStr" s="18">
        <is>
          <t xml:space="preserve">Founder payroll · Upshift — Upside</t>
        </is>
      </c>
      <c r="B30" s="9">
        <f>SUM('Model inputs'!B132)</f>
        <v>0</v>
      </c>
      <c r="D30" s="9">
        <f>SUM('Model inputs'!D132)</f>
        <v>0</v>
      </c>
      <c r="E30" s="9">
        <f>SUM('Model inputs'!E132)</f>
        <v>0</v>
      </c>
      <c r="F30" s="9">
        <f>SUM('Model inputs'!F132)</f>
        <v>0</v>
      </c>
      <c r="G30" s="9">
        <f>SUM('Model inputs'!G132)</f>
        <v>0</v>
      </c>
      <c r="H30" s="9">
        <f>SUM('Model inputs'!H132)</f>
        <v>0</v>
      </c>
      <c r="I30" s="9">
        <f>SUM('Model inputs'!I132)</f>
        <v>0</v>
      </c>
      <c r="J30" s="9">
        <f>SUM('Model inputs'!J132)</f>
        <v>0</v>
      </c>
      <c r="K30" s="9">
        <f>SUM('Model inputs'!K132)</f>
        <v>0</v>
      </c>
      <c r="L30" s="9">
        <f>SUM('Model inputs'!L132)</f>
        <v>0</v>
      </c>
      <c r="M30" s="9">
        <f>SUM('Model inputs'!M132)</f>
        <v>0</v>
      </c>
      <c r="N30" s="9">
        <f>SUM('Model inputs'!N132)</f>
        <v>0</v>
      </c>
      <c r="O30" s="9">
        <f>SUM('Model inputs'!O132)</f>
        <v>0</v>
      </c>
      <c r="P30" s="9">
        <f>SUM('Model inputs'!P132)</f>
        <v>0</v>
      </c>
      <c r="Q30" s="9">
        <f>SUM('Model inputs'!Q132)</f>
        <v>0</v>
      </c>
      <c r="R30" s="9">
        <f>SUM('Model inputs'!R132)</f>
        <v>0</v>
      </c>
      <c r="S30" s="9">
        <f>SUM('Model inputs'!S132)</f>
        <v>0</v>
      </c>
      <c r="T30" s="9">
        <f>SUM('Model inputs'!T132)</f>
        <v>0</v>
      </c>
      <c r="U30" s="9">
        <f>SUM('Model inputs'!U132)</f>
        <v>0</v>
      </c>
      <c r="V30" s="9">
        <f>SUM('Model inputs'!V132)</f>
        <v>0</v>
      </c>
      <c r="W30" s="9">
        <f>SUM('Model inputs'!W132)</f>
        <v>0</v>
      </c>
      <c r="X30" s="9">
        <f>SUM('Model inputs'!X132)</f>
        <v>0</v>
      </c>
      <c r="Y30" s="9">
        <f>SUM('Model inputs'!Y132)</f>
        <v>0</v>
      </c>
      <c r="Z30" s="9">
        <f>SUM('Model inputs'!Z132)</f>
        <v>0</v>
      </c>
      <c r="AA30" s="9">
        <f>SUM('Model inputs'!AA132)</f>
        <v>0</v>
      </c>
    </row>
    <row r="31">
      <c r="A31" t="inlineStr" s="18">
        <is>
          <t xml:space="preserve">Gross profit · Main Scenario</t>
        </is>
      </c>
      <c r="B31" s="9">
        <f>'Model inputs'!B61-'Model inputs'!B82</f>
        <v>5056.200987770989</v>
      </c>
      <c r="D31" s="9">
        <f>'Model inputs'!D61-'Model inputs'!D82</f>
        <v>156</v>
      </c>
      <c r="E31" s="9">
        <f>'Model inputs'!E61-'Model inputs'!E82</f>
        <v>312.00000000000006</v>
      </c>
      <c r="F31" s="9">
        <f>'Model inputs'!F61-'Model inputs'!F82</f>
        <v>468.0000000000001</v>
      </c>
      <c r="G31" s="9">
        <f>'Model inputs'!G61-'Model inputs'!G82</f>
        <v>524.1600000000001</v>
      </c>
      <c r="H31" s="9">
        <f>'Model inputs'!H61-'Model inputs'!H82</f>
        <v>587.0592</v>
      </c>
      <c r="I31" s="9">
        <f>'Model inputs'!I61-'Model inputs'!I82</f>
        <v>657.5063040000001</v>
      </c>
      <c r="J31" s="9">
        <f>'Model inputs'!J61-'Model inputs'!J82</f>
        <v>736.40706048</v>
      </c>
      <c r="K31" s="9">
        <f>'Model inputs'!K61-'Model inputs'!K82</f>
        <v>824.7759077376</v>
      </c>
      <c r="L31" s="9">
        <f>'Model inputs'!L61-'Model inputs'!L82</f>
        <v>923.7490166661119</v>
      </c>
      <c r="M31" s="9">
        <f>'Model inputs'!M61-'Model inputs'!M82</f>
        <v>1034.5988986660454</v>
      </c>
      <c r="N31" s="9">
        <f>'Model inputs'!N61-'Model inputs'!N82</f>
        <v>1158.7507665059707</v>
      </c>
      <c r="O31" s="9">
        <f>'Model inputs'!O61-'Model inputs'!O82</f>
        <v>1297.8008584866873</v>
      </c>
      <c r="P31" s="9">
        <f>'Model inputs'!P61-'Model inputs'!P82</f>
        <v>1453.5369615050897</v>
      </c>
      <c r="Q31" s="9">
        <f>'Model inputs'!Q61-'Model inputs'!Q82</f>
        <v>1627.9613968857002</v>
      </c>
      <c r="R31" s="9">
        <f>'Model inputs'!R61-'Model inputs'!R82</f>
        <v>1823.3167645119845</v>
      </c>
      <c r="S31" s="9">
        <f>'Model inputs'!S61-'Model inputs'!S82</f>
        <v>2042.1147762534229</v>
      </c>
      <c r="T31" s="9">
        <f>'Model inputs'!T61-'Model inputs'!T82</f>
        <v>2287.1685494038334</v>
      </c>
      <c r="U31" s="9">
        <f>'Model inputs'!U61-'Model inputs'!U82</f>
        <v>2561.628775332293</v>
      </c>
      <c r="V31" s="9">
        <f>'Model inputs'!V61-'Model inputs'!V82</f>
        <v>2869.0242283721686</v>
      </c>
      <c r="W31" s="9">
        <f>'Model inputs'!W61-'Model inputs'!W82</f>
        <v>3213.307135776829</v>
      </c>
      <c r="X31" s="9">
        <f>'Model inputs'!X61-'Model inputs'!X82</f>
        <v>3598.903992070048</v>
      </c>
      <c r="Y31" s="9">
        <f>'Model inputs'!Y61-'Model inputs'!Y82</f>
        <v>4030.7724711184537</v>
      </c>
      <c r="Z31" s="9">
        <f>'Model inputs'!Z61-'Model inputs'!Z82</f>
        <v>4514.465167652669</v>
      </c>
      <c r="AA31" s="9">
        <v>0</v>
      </c>
    </row>
    <row r="32">
      <c r="A32" t="inlineStr" s="18">
        <is>
          <t xml:space="preserve">Gross profit · Upshift — Upside</t>
        </is>
      </c>
      <c r="B32" s="9">
        <f>'Model inputs'!B118-'Model inputs'!B83</f>
        <v>76162.6955005171</v>
      </c>
      <c r="D32" s="9">
        <f>'Model inputs'!D118-'Model inputs'!D83</f>
        <v>390.00000000000006</v>
      </c>
      <c r="E32" s="9">
        <f>'Model inputs'!E118-'Model inputs'!E83</f>
        <v>780.0000000000001</v>
      </c>
      <c r="F32" s="9">
        <f>'Model inputs'!F118-'Model inputs'!F83</f>
        <v>1170</v>
      </c>
      <c r="G32" s="9">
        <f>'Model inputs'!G118-'Model inputs'!G83</f>
        <v>1427.4</v>
      </c>
      <c r="H32" s="9">
        <f>'Model inputs'!H118-'Model inputs'!H83</f>
        <v>1741.4279999999999</v>
      </c>
      <c r="I32" s="9">
        <f>'Model inputs'!I118-'Model inputs'!I83</f>
        <v>2124.54216</v>
      </c>
      <c r="J32" s="9">
        <f>'Model inputs'!J118-'Model inputs'!J83</f>
        <v>2591.9414352</v>
      </c>
      <c r="K32" s="9">
        <f>'Model inputs'!K118-'Model inputs'!K83</f>
        <v>3162.1685509440003</v>
      </c>
      <c r="L32" s="9">
        <f>'Model inputs'!L118-'Model inputs'!L83</f>
        <v>3857.84563215168</v>
      </c>
      <c r="M32" s="9">
        <f>'Model inputs'!M118-'Model inputs'!M83</f>
        <v>4706.5716712250505</v>
      </c>
      <c r="N32" s="9">
        <f>'Model inputs'!N118-'Model inputs'!N83</f>
        <v>5742.017438894562</v>
      </c>
      <c r="O32" s="9">
        <f>'Model inputs'!O118-'Model inputs'!O83</f>
        <v>7005.261275451365</v>
      </c>
      <c r="P32" s="9">
        <f>'Model inputs'!P118-'Model inputs'!P83</f>
        <v>8546.418756050665</v>
      </c>
      <c r="Q32" s="9">
        <f>'Model inputs'!Q118-'Model inputs'!Q83</f>
        <v>10426.630882381813</v>
      </c>
      <c r="R32" s="9">
        <f>'Model inputs'!R118-'Model inputs'!R83</f>
        <v>12720.489676505811</v>
      </c>
      <c r="S32" s="9">
        <f>'Model inputs'!S118-'Model inputs'!S83</f>
        <v>15518.99740533709</v>
      </c>
      <c r="T32" s="9">
        <f>'Model inputs'!T118-'Model inputs'!T83</f>
        <v>18933.17683451125</v>
      </c>
      <c r="U32" s="9">
        <f>'Model inputs'!U118-'Model inputs'!U83</f>
        <v>23098.475738103727</v>
      </c>
      <c r="V32" s="9">
        <f>'Model inputs'!V118-'Model inputs'!V83</f>
        <v>28180.14040048654</v>
      </c>
      <c r="W32" s="9">
        <f>'Model inputs'!W118-'Model inputs'!W83</f>
        <v>34379.771288593576</v>
      </c>
      <c r="X32" s="9">
        <f>'Model inputs'!X118-'Model inputs'!X83</f>
        <v>41943.32097208416</v>
      </c>
      <c r="Y32" s="9">
        <f>'Model inputs'!Y118-'Model inputs'!Y83</f>
        <v>51170.85158594269</v>
      </c>
      <c r="Z32" s="9">
        <f>'Model inputs'!Z118-'Model inputs'!Z83</f>
        <v>62428.438934850084</v>
      </c>
      <c r="AA32" s="9">
        <v>0</v>
      </c>
    </row>
    <row r="33">
      <c r="A33" t="inlineStr" s="18">
        <is>
          <t xml:space="preserve">Inference costs · Main Scenario</t>
        </is>
      </c>
      <c r="B33" s="9">
        <f>'Model inputs'!B72*'Model inputs'!C9</f>
        <v>216.0769652893585</v>
      </c>
      <c r="D33" s="9">
        <f>'Model inputs'!D72*'Model inputs'!C9</f>
        <v>6.666666666666667</v>
      </c>
      <c r="E33" s="9">
        <f>'Model inputs'!E72*'Model inputs'!C9</f>
        <v>13.333333333333336</v>
      </c>
      <c r="F33" s="9">
        <f>'Model inputs'!F72*'Model inputs'!C9</f>
        <v>20.000000000000004</v>
      </c>
      <c r="G33" s="9">
        <f>'Model inputs'!G72*'Model inputs'!C9</f>
        <v>22.400000000000002</v>
      </c>
      <c r="H33" s="9">
        <f>'Model inputs'!H72*'Model inputs'!C9</f>
        <v>25.088</v>
      </c>
      <c r="I33" s="9">
        <f>'Model inputs'!I72*'Model inputs'!C9</f>
        <v>28.098560000000003</v>
      </c>
      <c r="J33" s="9">
        <f>'Model inputs'!J72*'Model inputs'!C9</f>
        <v>31.4703872</v>
      </c>
      <c r="K33" s="9">
        <f>'Model inputs'!K72*'Model inputs'!C9</f>
        <v>35.246833664</v>
      </c>
      <c r="L33" s="9">
        <f>'Model inputs'!L72*'Model inputs'!C9</f>
        <v>39.476453703679994</v>
      </c>
      <c r="M33" s="9">
        <f>'Model inputs'!M72*'Model inputs'!C9</f>
        <v>44.21362814812159</v>
      </c>
      <c r="N33" s="9">
        <f>'Model inputs'!N72*'Model inputs'!C9</f>
        <v>49.519263525896186</v>
      </c>
      <c r="O33" s="9">
        <f>'Model inputs'!O72*'Model inputs'!C9</f>
        <v>55.46157514900373</v>
      </c>
      <c r="P33" s="9">
        <f>'Model inputs'!P72*'Model inputs'!C9</f>
        <v>62.11696416688417</v>
      </c>
      <c r="Q33" s="9">
        <f>'Model inputs'!Q72*'Model inputs'!C9</f>
        <v>69.57099986691027</v>
      </c>
      <c r="R33" s="9">
        <f>'Model inputs'!R72*'Model inputs'!C9</f>
        <v>77.91951985093951</v>
      </c>
      <c r="S33" s="9">
        <f>'Model inputs'!S72*'Model inputs'!C9</f>
        <v>87.26986223305225</v>
      </c>
      <c r="T33" s="9">
        <f>'Model inputs'!T72*'Model inputs'!C9</f>
        <v>97.74224570101852</v>
      </c>
      <c r="U33" s="9">
        <f>'Model inputs'!U72*'Model inputs'!C9</f>
        <v>109.47131518514074</v>
      </c>
      <c r="V33" s="9">
        <f>'Model inputs'!V72*'Model inputs'!C9</f>
        <v>122.60787300735763</v>
      </c>
      <c r="W33" s="9">
        <f>'Model inputs'!W72*'Model inputs'!C9</f>
        <v>137.32081776824054</v>
      </c>
      <c r="X33" s="9">
        <f>'Model inputs'!X72*'Model inputs'!C9</f>
        <v>153.7993159004294</v>
      </c>
      <c r="Y33" s="9">
        <f>'Model inputs'!Y72*'Model inputs'!C9</f>
        <v>172.25523380848094</v>
      </c>
      <c r="Z33" s="9">
        <f>'Model inputs'!Z72*'Model inputs'!C9</f>
        <v>192.92586186549866</v>
      </c>
      <c r="AA33" s="9">
        <v>0</v>
      </c>
    </row>
    <row r="34">
      <c r="A34" t="inlineStr" s="18">
        <is>
          <t xml:space="preserve">Inference costs · Upshift — Upside</t>
        </is>
      </c>
      <c r="B34" s="9">
        <f>'Model inputs'!B73*'Model inputs'!AB75</f>
        <v>3254.816047030645</v>
      </c>
      <c r="D34" s="9">
        <f>'Model inputs'!D73*'Model inputs'!AB75</f>
        <v>16.666666666666668</v>
      </c>
      <c r="E34" s="9">
        <f>'Model inputs'!E73*'Model inputs'!AB75</f>
        <v>33.333333333333336</v>
      </c>
      <c r="F34" s="9">
        <f>'Model inputs'!F73*'Model inputs'!AB75</f>
        <v>50</v>
      </c>
      <c r="G34" s="9">
        <f>'Model inputs'!G73*'Model inputs'!AB75</f>
        <v>61</v>
      </c>
      <c r="H34" s="9">
        <f>'Model inputs'!H73*'Model inputs'!AB75</f>
        <v>74.42</v>
      </c>
      <c r="I34" s="9">
        <f>'Model inputs'!I73*'Model inputs'!AB75</f>
        <v>90.7924</v>
      </c>
      <c r="J34" s="9">
        <f>'Model inputs'!J73*'Model inputs'!AB75</f>
        <v>110.766728</v>
      </c>
      <c r="K34" s="9">
        <f>'Model inputs'!K73*'Model inputs'!AB75</f>
        <v>135.13540816000003</v>
      </c>
      <c r="L34" s="9">
        <f>'Model inputs'!L73*'Model inputs'!AB75</f>
        <v>164.86519795520002</v>
      </c>
      <c r="M34" s="9">
        <f>'Model inputs'!M73*'Model inputs'!AB75</f>
        <v>201.13554150534404</v>
      </c>
      <c r="N34" s="9">
        <f>'Model inputs'!N73*'Model inputs'!AB75</f>
        <v>245.38536063651972</v>
      </c>
      <c r="O34" s="9">
        <f>'Model inputs'!O73*'Model inputs'!AB75</f>
        <v>299.37013997655407</v>
      </c>
      <c r="P34" s="9">
        <f>'Model inputs'!P73*'Model inputs'!AB75</f>
        <v>365.231570771396</v>
      </c>
      <c r="Q34" s="9">
        <f>'Model inputs'!Q73*'Model inputs'!AB75</f>
        <v>445.5825163411031</v>
      </c>
      <c r="R34" s="9">
        <f>'Model inputs'!R73*'Model inputs'!AB75</f>
        <v>543.6106699361458</v>
      </c>
      <c r="S34" s="9">
        <f>'Model inputs'!S73*'Model inputs'!AB75</f>
        <v>663.2050173220979</v>
      </c>
      <c r="T34" s="9">
        <f>'Model inputs'!T73*'Model inputs'!AB75</f>
        <v>809.1101211329594</v>
      </c>
      <c r="U34" s="9">
        <f>'Model inputs'!U73*'Model inputs'!AB75</f>
        <v>987.1143477822105</v>
      </c>
      <c r="V34" s="9">
        <f>'Model inputs'!V73*'Model inputs'!AB75</f>
        <v>1204.2795042942967</v>
      </c>
      <c r="W34" s="9">
        <f>'Model inputs'!W73*'Model inputs'!AB75</f>
        <v>1469.2209952390417</v>
      </c>
      <c r="X34" s="9">
        <f>'Model inputs'!X73*'Model inputs'!AB75</f>
        <v>1792.449614191631</v>
      </c>
      <c r="Y34" s="9">
        <f>'Model inputs'!Y73*'Model inputs'!AB75</f>
        <v>2186.78852931379</v>
      </c>
      <c r="Z34" s="9">
        <f>'Model inputs'!Z73*'Model inputs'!AB75</f>
        <v>2667.882005762824</v>
      </c>
      <c r="AA34" s="9">
        <v>0</v>
      </c>
    </row>
    <row r="35">
      <c r="A35" t="inlineStr" s="18">
        <is>
          <t xml:space="preserve">Investment recovered marker</t>
        </is>
      </c>
      <c r="B35" s="8">
        <f>IF(IF(IF(ISERROR('Model inputs'!B68&gt;='Model inputs'!AB64),'Model inputs'!B68&gt;='Model inputs'!AB64,IF(OR('Model inputs'!B68="",'Model inputs'!AB64=""),"",'Model inputs'!B68&gt;='Model inputs'!AB64))="",FALSE,IF(ISERROR('Model inputs'!B68&gt;='Model inputs'!AB64),'Model inputs'!B68&gt;='Model inputs'!AB64,IF(OR('Model inputs'!B68="",'Model inputs'!AB64=""),"",'Model inputs'!B68&gt;='Model inputs'!AB64))),DATE(2028,9,1),"")</f>
        <v>46997</v>
      </c>
      <c r="D35" t="str" s="10">
        <f>IF(IF(IF(ISERROR('Model inputs'!D68&gt;='Model inputs'!AB64),'Model inputs'!D68&gt;='Model inputs'!AB64,IF(OR('Model inputs'!D68="",'Model inputs'!AB64=""),"",'Model inputs'!D68&gt;='Model inputs'!AB64))="",FALSE,IF(ISERROR('Model inputs'!D68&gt;='Model inputs'!AB64),'Model inputs'!D68&gt;='Model inputs'!AB64,IF(OR('Model inputs'!D68="",'Model inputs'!AB64=""),"",'Model inputs'!D68&gt;='Model inputs'!AB64))),DATE(2026,10,1),"")</f>
        <v/>
      </c>
      <c r="E35" t="str" s="10">
        <f>IF(IF(IF(ISERROR('Model inputs'!E68&gt;='Model inputs'!AB64),'Model inputs'!E68&gt;='Model inputs'!AB64,IF(OR('Model inputs'!E68="",'Model inputs'!AB64=""),"",'Model inputs'!E68&gt;='Model inputs'!AB64))="",FALSE,IF(ISERROR('Model inputs'!E68&gt;='Model inputs'!AB64),'Model inputs'!E68&gt;='Model inputs'!AB64,IF(OR('Model inputs'!E68="",'Model inputs'!AB64=""),"",'Model inputs'!E68&gt;='Model inputs'!AB64))),DATE(2026,11,1),"")</f>
        <v/>
      </c>
      <c r="F35" s="8">
        <f>IF(IF(IF(ISERROR('Model inputs'!F68&gt;='Model inputs'!AB64),'Model inputs'!F68&gt;='Model inputs'!AB64,IF(OR('Model inputs'!F68="",'Model inputs'!AB64=""),"",'Model inputs'!F68&gt;='Model inputs'!AB64))="",FALSE,IF(ISERROR('Model inputs'!F68&gt;='Model inputs'!AB64),'Model inputs'!F68&gt;='Model inputs'!AB64,IF(OR('Model inputs'!F68="",'Model inputs'!AB64=""),"",'Model inputs'!F68&gt;='Model inputs'!AB64))),DATE(2026,12,1),"")</f>
        <v>46357</v>
      </c>
      <c r="G35" s="8">
        <f>IF(IF(IF(ISERROR('Model inputs'!G68&gt;='Model inputs'!AB64),'Model inputs'!G68&gt;='Model inputs'!AB64,IF(OR('Model inputs'!G68="",'Model inputs'!AB64=""),"",'Model inputs'!G68&gt;='Model inputs'!AB64))="",FALSE,IF(ISERROR('Model inputs'!G68&gt;='Model inputs'!AB64),'Model inputs'!G68&gt;='Model inputs'!AB64,IF(OR('Model inputs'!G68="",'Model inputs'!AB64=""),"",'Model inputs'!G68&gt;='Model inputs'!AB64))),DATE(2027,1,1),"")</f>
        <v>46388</v>
      </c>
      <c r="H35" s="8">
        <f>IF(IF(IF(ISERROR('Model inputs'!H68&gt;='Model inputs'!AB64),'Model inputs'!H68&gt;='Model inputs'!AB64,IF(OR('Model inputs'!H68="",'Model inputs'!AB64=""),"",'Model inputs'!H68&gt;='Model inputs'!AB64))="",FALSE,IF(ISERROR('Model inputs'!H68&gt;='Model inputs'!AB64),'Model inputs'!H68&gt;='Model inputs'!AB64,IF(OR('Model inputs'!H68="",'Model inputs'!AB64=""),"",'Model inputs'!H68&gt;='Model inputs'!AB64))),DATE(2027,2,1),"")</f>
        <v>46419</v>
      </c>
      <c r="I35" s="8">
        <f>IF(IF(IF(ISERROR('Model inputs'!I68&gt;='Model inputs'!AB64),'Model inputs'!I68&gt;='Model inputs'!AB64,IF(OR('Model inputs'!I68="",'Model inputs'!AB64=""),"",'Model inputs'!I68&gt;='Model inputs'!AB64))="",FALSE,IF(ISERROR('Model inputs'!I68&gt;='Model inputs'!AB64),'Model inputs'!I68&gt;='Model inputs'!AB64,IF(OR('Model inputs'!I68="",'Model inputs'!AB64=""),"",'Model inputs'!I68&gt;='Model inputs'!AB64))),DATE(2027,3,1),"")</f>
        <v>46447</v>
      </c>
      <c r="J35" s="8">
        <f>IF(IF(IF(ISERROR('Model inputs'!J68&gt;='Model inputs'!AB64),'Model inputs'!J68&gt;='Model inputs'!AB64,IF(OR('Model inputs'!J68="",'Model inputs'!AB64=""),"",'Model inputs'!J68&gt;='Model inputs'!AB64))="",FALSE,IF(ISERROR('Model inputs'!J68&gt;='Model inputs'!AB64),'Model inputs'!J68&gt;='Model inputs'!AB64,IF(OR('Model inputs'!J68="",'Model inputs'!AB64=""),"",'Model inputs'!J68&gt;='Model inputs'!AB64))),DATE(2027,4,1),"")</f>
        <v>46478</v>
      </c>
      <c r="K35" s="8">
        <f>IF(IF(IF(ISERROR('Model inputs'!K68&gt;='Model inputs'!AB64),'Model inputs'!K68&gt;='Model inputs'!AB64,IF(OR('Model inputs'!K68="",'Model inputs'!AB64=""),"",'Model inputs'!K68&gt;='Model inputs'!AB64))="",FALSE,IF(ISERROR('Model inputs'!K68&gt;='Model inputs'!AB64),'Model inputs'!K68&gt;='Model inputs'!AB64,IF(OR('Model inputs'!K68="",'Model inputs'!AB64=""),"",'Model inputs'!K68&gt;='Model inputs'!AB64))),DATE(2027,5,1),"")</f>
        <v>46508</v>
      </c>
      <c r="L35" s="8">
        <f>IF(IF(IF(ISERROR('Model inputs'!L68&gt;='Model inputs'!AB64),'Model inputs'!L68&gt;='Model inputs'!AB64,IF(OR('Model inputs'!L68="",'Model inputs'!AB64=""),"",'Model inputs'!L68&gt;='Model inputs'!AB64))="",FALSE,IF(ISERROR('Model inputs'!L68&gt;='Model inputs'!AB64),'Model inputs'!L68&gt;='Model inputs'!AB64,IF(OR('Model inputs'!L68="",'Model inputs'!AB64=""),"",'Model inputs'!L68&gt;='Model inputs'!AB64))),DATE(2027,6,1),"")</f>
        <v>46539</v>
      </c>
      <c r="M35" s="8">
        <f>IF(IF(IF(ISERROR('Model inputs'!M68&gt;='Model inputs'!AB64),'Model inputs'!M68&gt;='Model inputs'!AB64,IF(OR('Model inputs'!M68="",'Model inputs'!AB64=""),"",'Model inputs'!M68&gt;='Model inputs'!AB64))="",FALSE,IF(ISERROR('Model inputs'!M68&gt;='Model inputs'!AB64),'Model inputs'!M68&gt;='Model inputs'!AB64,IF(OR('Model inputs'!M68="",'Model inputs'!AB64=""),"",'Model inputs'!M68&gt;='Model inputs'!AB64))),DATE(2027,7,1),"")</f>
        <v>46569</v>
      </c>
      <c r="N35" s="8">
        <f>IF(IF(IF(ISERROR('Model inputs'!N68&gt;='Model inputs'!AB64),'Model inputs'!N68&gt;='Model inputs'!AB64,IF(OR('Model inputs'!N68="",'Model inputs'!AB64=""),"",'Model inputs'!N68&gt;='Model inputs'!AB64))="",FALSE,IF(ISERROR('Model inputs'!N68&gt;='Model inputs'!AB64),'Model inputs'!N68&gt;='Model inputs'!AB64,IF(OR('Model inputs'!N68="",'Model inputs'!AB64=""),"",'Model inputs'!N68&gt;='Model inputs'!AB64))),DATE(2027,8,1),"")</f>
        <v>46600</v>
      </c>
      <c r="O35" s="8">
        <f>IF(IF(IF(ISERROR('Model inputs'!O68&gt;='Model inputs'!AB64),'Model inputs'!O68&gt;='Model inputs'!AB64,IF(OR('Model inputs'!O68="",'Model inputs'!AB64=""),"",'Model inputs'!O68&gt;='Model inputs'!AB64))="",FALSE,IF(ISERROR('Model inputs'!O68&gt;='Model inputs'!AB64),'Model inputs'!O68&gt;='Model inputs'!AB64,IF(OR('Model inputs'!O68="",'Model inputs'!AB64=""),"",'Model inputs'!O68&gt;='Model inputs'!AB64))),DATE(2027,9,1),"")</f>
        <v>46631</v>
      </c>
      <c r="P35" s="8">
        <f>IF(IF(IF(ISERROR('Model inputs'!P68&gt;='Model inputs'!AB64),'Model inputs'!P68&gt;='Model inputs'!AB64,IF(OR('Model inputs'!P68="",'Model inputs'!AB64=""),"",'Model inputs'!P68&gt;='Model inputs'!AB64))="",FALSE,IF(ISERROR('Model inputs'!P68&gt;='Model inputs'!AB64),'Model inputs'!P68&gt;='Model inputs'!AB64,IF(OR('Model inputs'!P68="",'Model inputs'!AB64=""),"",'Model inputs'!P68&gt;='Model inputs'!AB64))),DATE(2027,10,1),"")</f>
        <v>46661</v>
      </c>
      <c r="Q35" s="8">
        <f>IF(IF(IF(ISERROR('Model inputs'!Q68&gt;='Model inputs'!AB64),'Model inputs'!Q68&gt;='Model inputs'!AB64,IF(OR('Model inputs'!Q68="",'Model inputs'!AB64=""),"",'Model inputs'!Q68&gt;='Model inputs'!AB64))="",FALSE,IF(ISERROR('Model inputs'!Q68&gt;='Model inputs'!AB64),'Model inputs'!Q68&gt;='Model inputs'!AB64,IF(OR('Model inputs'!Q68="",'Model inputs'!AB64=""),"",'Model inputs'!Q68&gt;='Model inputs'!AB64))),DATE(2027,11,1),"")</f>
        <v>46692</v>
      </c>
      <c r="R35" s="8">
        <f>IF(IF(IF(ISERROR('Model inputs'!R68&gt;='Model inputs'!AB64),'Model inputs'!R68&gt;='Model inputs'!AB64,IF(OR('Model inputs'!R68="",'Model inputs'!AB64=""),"",'Model inputs'!R68&gt;='Model inputs'!AB64))="",FALSE,IF(ISERROR('Model inputs'!R68&gt;='Model inputs'!AB64),'Model inputs'!R68&gt;='Model inputs'!AB64,IF(OR('Model inputs'!R68="",'Model inputs'!AB64=""),"",'Model inputs'!R68&gt;='Model inputs'!AB64))),DATE(2027,12,1),"")</f>
        <v>46722</v>
      </c>
      <c r="S35" s="8">
        <f>IF(IF(IF(ISERROR('Model inputs'!S68&gt;='Model inputs'!AB64),'Model inputs'!S68&gt;='Model inputs'!AB64,IF(OR('Model inputs'!S68="",'Model inputs'!AB64=""),"",'Model inputs'!S68&gt;='Model inputs'!AB64))="",FALSE,IF(ISERROR('Model inputs'!S68&gt;='Model inputs'!AB64),'Model inputs'!S68&gt;='Model inputs'!AB64,IF(OR('Model inputs'!S68="",'Model inputs'!AB64=""),"",'Model inputs'!S68&gt;='Model inputs'!AB64))),DATE(2028,1,1),"")</f>
        <v>46753</v>
      </c>
      <c r="T35" s="8">
        <f>IF(IF(IF(ISERROR('Model inputs'!T68&gt;='Model inputs'!AB64),'Model inputs'!T68&gt;='Model inputs'!AB64,IF(OR('Model inputs'!T68="",'Model inputs'!AB64=""),"",'Model inputs'!T68&gt;='Model inputs'!AB64))="",FALSE,IF(ISERROR('Model inputs'!T68&gt;='Model inputs'!AB64),'Model inputs'!T68&gt;='Model inputs'!AB64,IF(OR('Model inputs'!T68="",'Model inputs'!AB64=""),"",'Model inputs'!T68&gt;='Model inputs'!AB64))),DATE(2028,2,1),"")</f>
        <v>46784</v>
      </c>
      <c r="U35" s="8">
        <f>IF(IF(IF(ISERROR('Model inputs'!U68&gt;='Model inputs'!AB64),'Model inputs'!U68&gt;='Model inputs'!AB64,IF(OR('Model inputs'!U68="",'Model inputs'!AB64=""),"",'Model inputs'!U68&gt;='Model inputs'!AB64))="",FALSE,IF(ISERROR('Model inputs'!U68&gt;='Model inputs'!AB64),'Model inputs'!U68&gt;='Model inputs'!AB64,IF(OR('Model inputs'!U68="",'Model inputs'!AB64=""),"",'Model inputs'!U68&gt;='Model inputs'!AB64))),DATE(2028,3,1),"")</f>
        <v>46813</v>
      </c>
      <c r="V35" s="8">
        <f>IF(IF(IF(ISERROR('Model inputs'!V68&gt;='Model inputs'!AB64),'Model inputs'!V68&gt;='Model inputs'!AB64,IF(OR('Model inputs'!V68="",'Model inputs'!AB64=""),"",'Model inputs'!V68&gt;='Model inputs'!AB64))="",FALSE,IF(ISERROR('Model inputs'!V68&gt;='Model inputs'!AB64),'Model inputs'!V68&gt;='Model inputs'!AB64,IF(OR('Model inputs'!V68="",'Model inputs'!AB64=""),"",'Model inputs'!V68&gt;='Model inputs'!AB64))),DATE(2028,4,1),"")</f>
        <v>46844</v>
      </c>
      <c r="W35" s="8">
        <f>IF(IF(IF(ISERROR('Model inputs'!W68&gt;='Model inputs'!AB64),'Model inputs'!W68&gt;='Model inputs'!AB64,IF(OR('Model inputs'!W68="",'Model inputs'!AB64=""),"",'Model inputs'!W68&gt;='Model inputs'!AB64))="",FALSE,IF(ISERROR('Model inputs'!W68&gt;='Model inputs'!AB64),'Model inputs'!W68&gt;='Model inputs'!AB64,IF(OR('Model inputs'!W68="",'Model inputs'!AB64=""),"",'Model inputs'!W68&gt;='Model inputs'!AB64))),DATE(2028,5,1),"")</f>
        <v>46874</v>
      </c>
      <c r="X35" s="8">
        <f>IF(IF(IF(ISERROR('Model inputs'!X68&gt;='Model inputs'!AB64),'Model inputs'!X68&gt;='Model inputs'!AB64,IF(OR('Model inputs'!X68="",'Model inputs'!AB64=""),"",'Model inputs'!X68&gt;='Model inputs'!AB64))="",FALSE,IF(ISERROR('Model inputs'!X68&gt;='Model inputs'!AB64),'Model inputs'!X68&gt;='Model inputs'!AB64,IF(OR('Model inputs'!X68="",'Model inputs'!AB64=""),"",'Model inputs'!X68&gt;='Model inputs'!AB64))),DATE(2028,6,1),"")</f>
        <v>46905</v>
      </c>
      <c r="Y35" s="8">
        <f>IF(IF(IF(ISERROR('Model inputs'!Y68&gt;='Model inputs'!AB64),'Model inputs'!Y68&gt;='Model inputs'!AB64,IF(OR('Model inputs'!Y68="",'Model inputs'!AB64=""),"",'Model inputs'!Y68&gt;='Model inputs'!AB64))="",FALSE,IF(ISERROR('Model inputs'!Y68&gt;='Model inputs'!AB64),'Model inputs'!Y68&gt;='Model inputs'!AB64,IF(OR('Model inputs'!Y68="",'Model inputs'!AB64=""),"",'Model inputs'!Y68&gt;='Model inputs'!AB64))),DATE(2028,7,1),"")</f>
        <v>46935</v>
      </c>
      <c r="Z35" s="8">
        <f>IF(IF(IF(ISERROR('Model inputs'!Z68&gt;='Model inputs'!AB64),'Model inputs'!Z68&gt;='Model inputs'!AB64,IF(OR('Model inputs'!Z68="",'Model inputs'!AB64=""),"",'Model inputs'!Z68&gt;='Model inputs'!AB64))="",FALSE,IF(ISERROR('Model inputs'!Z68&gt;='Model inputs'!AB64),'Model inputs'!Z68&gt;='Model inputs'!AB64,IF(OR('Model inputs'!Z68="",'Model inputs'!AB64=""),"",'Model inputs'!Z68&gt;='Model inputs'!AB64))),DATE(2028,8,1),"")</f>
        <v>46966</v>
      </c>
    </row>
    <row r="36">
      <c r="A36" t="inlineStr" s="18">
        <is>
          <t xml:space="preserve">Migration stress break-even marker</t>
        </is>
      </c>
      <c r="B36" s="8">
        <f>IF(IF(IF(ISERROR('Model inputs'!B116&gt;=0),'Model inputs'!B116&gt;=0,IF('Model inputs'!B116="","",'Model inputs'!B116&gt;=0))="",FALSE,IF(ISERROR('Model inputs'!B116&gt;=0),'Model inputs'!B116&gt;=0,IF('Model inputs'!B116="","",'Model inputs'!B116&gt;=0))),DATE(2028,9,1),"")</f>
        <v>46997</v>
      </c>
      <c r="D36" t="str" s="10">
        <f>IF(IF(IF(ISERROR('Model inputs'!D116&gt;=0),'Model inputs'!D116&gt;=0,IF('Model inputs'!D116="","",'Model inputs'!D116&gt;=0))="",FALSE,IF(ISERROR('Model inputs'!D116&gt;=0),'Model inputs'!D116&gt;=0,IF('Model inputs'!D116="","",'Model inputs'!D116&gt;=0))),DATE(2026,10,1),"")</f>
        <v/>
      </c>
      <c r="E36" t="str" s="10">
        <f>IF(IF(IF(ISERROR('Model inputs'!E116&gt;=0),'Model inputs'!E116&gt;=0,IF('Model inputs'!E116="","",'Model inputs'!E116&gt;=0))="",FALSE,IF(ISERROR('Model inputs'!E116&gt;=0),'Model inputs'!E116&gt;=0,IF('Model inputs'!E116="","",'Model inputs'!E116&gt;=0))),DATE(2026,11,1),"")</f>
        <v/>
      </c>
      <c r="F36" s="8">
        <f>IF(IF(IF(ISERROR('Model inputs'!F116&gt;=0),'Model inputs'!F116&gt;=0,IF('Model inputs'!F116="","",'Model inputs'!F116&gt;=0))="",FALSE,IF(ISERROR('Model inputs'!F116&gt;=0),'Model inputs'!F116&gt;=0,IF('Model inputs'!F116="","",'Model inputs'!F116&gt;=0))),DATE(2026,12,1),"")</f>
        <v>46357</v>
      </c>
      <c r="G36" s="8">
        <f>IF(IF(IF(ISERROR('Model inputs'!G116&gt;=0),'Model inputs'!G116&gt;=0,IF('Model inputs'!G116="","",'Model inputs'!G116&gt;=0))="",FALSE,IF(ISERROR('Model inputs'!G116&gt;=0),'Model inputs'!G116&gt;=0,IF('Model inputs'!G116="","",'Model inputs'!G116&gt;=0))),DATE(2027,1,1),"")</f>
        <v>46388</v>
      </c>
      <c r="H36" s="8">
        <f>IF(IF(IF(ISERROR('Model inputs'!H116&gt;=0),'Model inputs'!H116&gt;=0,IF('Model inputs'!H116="","",'Model inputs'!H116&gt;=0))="",FALSE,IF(ISERROR('Model inputs'!H116&gt;=0),'Model inputs'!H116&gt;=0,IF('Model inputs'!H116="","",'Model inputs'!H116&gt;=0))),DATE(2027,2,1),"")</f>
        <v>46419</v>
      </c>
      <c r="I36" s="8">
        <f>IF(IF(IF(ISERROR('Model inputs'!I116&gt;=0),'Model inputs'!I116&gt;=0,IF('Model inputs'!I116="","",'Model inputs'!I116&gt;=0))="",FALSE,IF(ISERROR('Model inputs'!I116&gt;=0),'Model inputs'!I116&gt;=0,IF('Model inputs'!I116="","",'Model inputs'!I116&gt;=0))),DATE(2027,3,1),"")</f>
        <v>46447</v>
      </c>
      <c r="J36" s="8">
        <f>IF(IF(IF(ISERROR('Model inputs'!J116&gt;=0),'Model inputs'!J116&gt;=0,IF('Model inputs'!J116="","",'Model inputs'!J116&gt;=0))="",FALSE,IF(ISERROR('Model inputs'!J116&gt;=0),'Model inputs'!J116&gt;=0,IF('Model inputs'!J116="","",'Model inputs'!J116&gt;=0))),DATE(2027,4,1),"")</f>
        <v>46478</v>
      </c>
      <c r="K36" s="8">
        <f>IF(IF(IF(ISERROR('Model inputs'!K116&gt;=0),'Model inputs'!K116&gt;=0,IF('Model inputs'!K116="","",'Model inputs'!K116&gt;=0))="",FALSE,IF(ISERROR('Model inputs'!K116&gt;=0),'Model inputs'!K116&gt;=0,IF('Model inputs'!K116="","",'Model inputs'!K116&gt;=0))),DATE(2027,5,1),"")</f>
        <v>46508</v>
      </c>
      <c r="L36" s="8">
        <f>IF(IF(IF(ISERROR('Model inputs'!L116&gt;=0),'Model inputs'!L116&gt;=0,IF('Model inputs'!L116="","",'Model inputs'!L116&gt;=0))="",FALSE,IF(ISERROR('Model inputs'!L116&gt;=0),'Model inputs'!L116&gt;=0,IF('Model inputs'!L116="","",'Model inputs'!L116&gt;=0))),DATE(2027,6,1),"")</f>
        <v>46539</v>
      </c>
      <c r="M36" s="8">
        <f>IF(IF(IF(ISERROR('Model inputs'!M116&gt;=0),'Model inputs'!M116&gt;=0,IF('Model inputs'!M116="","",'Model inputs'!M116&gt;=0))="",FALSE,IF(ISERROR('Model inputs'!M116&gt;=0),'Model inputs'!M116&gt;=0,IF('Model inputs'!M116="","",'Model inputs'!M116&gt;=0))),DATE(2027,7,1),"")</f>
        <v>46569</v>
      </c>
      <c r="N36" s="8">
        <f>IF(IF(IF(ISERROR('Model inputs'!N116&gt;=0),'Model inputs'!N116&gt;=0,IF('Model inputs'!N116="","",'Model inputs'!N116&gt;=0))="",FALSE,IF(ISERROR('Model inputs'!N116&gt;=0),'Model inputs'!N116&gt;=0,IF('Model inputs'!N116="","",'Model inputs'!N116&gt;=0))),DATE(2027,8,1),"")</f>
        <v>46600</v>
      </c>
      <c r="O36" s="8">
        <f>IF(IF(IF(ISERROR('Model inputs'!O116&gt;=0),'Model inputs'!O116&gt;=0,IF('Model inputs'!O116="","",'Model inputs'!O116&gt;=0))="",FALSE,IF(ISERROR('Model inputs'!O116&gt;=0),'Model inputs'!O116&gt;=0,IF('Model inputs'!O116="","",'Model inputs'!O116&gt;=0))),DATE(2027,9,1),"")</f>
        <v>46631</v>
      </c>
      <c r="P36" s="8">
        <f>IF(IF(IF(ISERROR('Model inputs'!P116&gt;=0),'Model inputs'!P116&gt;=0,IF('Model inputs'!P116="","",'Model inputs'!P116&gt;=0))="",FALSE,IF(ISERROR('Model inputs'!P116&gt;=0),'Model inputs'!P116&gt;=0,IF('Model inputs'!P116="","",'Model inputs'!P116&gt;=0))),DATE(2027,10,1),"")</f>
        <v>46661</v>
      </c>
      <c r="Q36" s="8">
        <f>IF(IF(IF(ISERROR('Model inputs'!Q116&gt;=0),'Model inputs'!Q116&gt;=0,IF('Model inputs'!Q116="","",'Model inputs'!Q116&gt;=0))="",FALSE,IF(ISERROR('Model inputs'!Q116&gt;=0),'Model inputs'!Q116&gt;=0,IF('Model inputs'!Q116="","",'Model inputs'!Q116&gt;=0))),DATE(2027,11,1),"")</f>
        <v>46692</v>
      </c>
      <c r="R36" s="8">
        <f>IF(IF(IF(ISERROR('Model inputs'!R116&gt;=0),'Model inputs'!R116&gt;=0,IF('Model inputs'!R116="","",'Model inputs'!R116&gt;=0))="",FALSE,IF(ISERROR('Model inputs'!R116&gt;=0),'Model inputs'!R116&gt;=0,IF('Model inputs'!R116="","",'Model inputs'!R116&gt;=0))),DATE(2027,12,1),"")</f>
        <v>46722</v>
      </c>
      <c r="S36" s="8">
        <f>IF(IF(IF(ISERROR('Model inputs'!S116&gt;=0),'Model inputs'!S116&gt;=0,IF('Model inputs'!S116="","",'Model inputs'!S116&gt;=0))="",FALSE,IF(ISERROR('Model inputs'!S116&gt;=0),'Model inputs'!S116&gt;=0,IF('Model inputs'!S116="","",'Model inputs'!S116&gt;=0))),DATE(2028,1,1),"")</f>
        <v>46753</v>
      </c>
      <c r="T36" s="8">
        <f>IF(IF(IF(ISERROR('Model inputs'!T116&gt;=0),'Model inputs'!T116&gt;=0,IF('Model inputs'!T116="","",'Model inputs'!T116&gt;=0))="",FALSE,IF(ISERROR('Model inputs'!T116&gt;=0),'Model inputs'!T116&gt;=0,IF('Model inputs'!T116="","",'Model inputs'!T116&gt;=0))),DATE(2028,2,1),"")</f>
        <v>46784</v>
      </c>
      <c r="U36" s="8">
        <f>IF(IF(IF(ISERROR('Model inputs'!U116&gt;=0),'Model inputs'!U116&gt;=0,IF('Model inputs'!U116="","",'Model inputs'!U116&gt;=0))="",FALSE,IF(ISERROR('Model inputs'!U116&gt;=0),'Model inputs'!U116&gt;=0,IF('Model inputs'!U116="","",'Model inputs'!U116&gt;=0))),DATE(2028,3,1),"")</f>
        <v>46813</v>
      </c>
      <c r="V36" s="8">
        <f>IF(IF(IF(ISERROR('Model inputs'!V116&gt;=0),'Model inputs'!V116&gt;=0,IF('Model inputs'!V116="","",'Model inputs'!V116&gt;=0))="",FALSE,IF(ISERROR('Model inputs'!V116&gt;=0),'Model inputs'!V116&gt;=0,IF('Model inputs'!V116="","",'Model inputs'!V116&gt;=0))),DATE(2028,4,1),"")</f>
        <v>46844</v>
      </c>
      <c r="W36" s="8">
        <f>IF(IF(IF(ISERROR('Model inputs'!W116&gt;=0),'Model inputs'!W116&gt;=0,IF('Model inputs'!W116="","",'Model inputs'!W116&gt;=0))="",FALSE,IF(ISERROR('Model inputs'!W116&gt;=0),'Model inputs'!W116&gt;=0,IF('Model inputs'!W116="","",'Model inputs'!W116&gt;=0))),DATE(2028,5,1),"")</f>
        <v>46874</v>
      </c>
      <c r="X36" s="8">
        <f>IF(IF(IF(ISERROR('Model inputs'!X116&gt;=0),'Model inputs'!X116&gt;=0,IF('Model inputs'!X116="","",'Model inputs'!X116&gt;=0))="",FALSE,IF(ISERROR('Model inputs'!X116&gt;=0),'Model inputs'!X116&gt;=0,IF('Model inputs'!X116="","",'Model inputs'!X116&gt;=0))),DATE(2028,6,1),"")</f>
        <v>46905</v>
      </c>
      <c r="Y36" s="8">
        <f>IF(IF(IF(ISERROR('Model inputs'!Y116&gt;=0),'Model inputs'!Y116&gt;=0,IF('Model inputs'!Y116="","",'Model inputs'!Y116&gt;=0))="",FALSE,IF(ISERROR('Model inputs'!Y116&gt;=0),'Model inputs'!Y116&gt;=0,IF('Model inputs'!Y116="","",'Model inputs'!Y116&gt;=0))),DATE(2028,7,1),"")</f>
        <v>46935</v>
      </c>
      <c r="Z36" s="8">
        <f>IF(IF(IF(ISERROR('Model inputs'!Z116&gt;=0),'Model inputs'!Z116&gt;=0,IF('Model inputs'!Z116="","",'Model inputs'!Z116&gt;=0))="",FALSE,IF(ISERROR('Model inputs'!Z116&gt;=0),'Model inputs'!Z116&gt;=0,IF('Model inputs'!Z116="","",'Model inputs'!Z116&gt;=0))),DATE(2028,8,1),"")</f>
        <v>46966</v>
      </c>
    </row>
    <row r="37">
      <c r="A37" t="inlineStr" s="18">
        <is>
          <t xml:space="preserve">Monthly capital spending</t>
        </is>
      </c>
      <c r="C37" s="9">
        <f>0</f>
        <v>0</v>
      </c>
    </row>
    <row r="38">
      <c r="A38" t="inlineStr" s="18">
        <is>
          <t xml:space="preserve">Monthly fixed cost</t>
        </is>
      </c>
      <c r="C38" s="14">
        <v>0</v>
      </c>
    </row>
    <row r="39" outlineLevel="1">
      <c r="A39" t="inlineStr" s="19">
        <is>
          <t xml:space="preserve">Monthly fixed cost &gt; Hosting and runners</t>
        </is>
      </c>
      <c r="C39" s="9">
        <f>150</f>
        <v>150</v>
      </c>
    </row>
    <row r="40" outlineLevel="1">
      <c r="A40" t="inlineStr" s="19">
        <is>
          <t xml:space="preserve">Monthly fixed cost &gt; Observability — neatlogs</t>
        </is>
      </c>
      <c r="C40" s="9">
        <f>50</f>
        <v>50</v>
      </c>
    </row>
    <row r="41" outlineLevel="1">
      <c r="A41" t="inlineStr" s="19">
        <is>
          <t xml:space="preserve">Monthly fixed cost &gt; Other tools</t>
        </is>
      </c>
      <c r="C41" s="9">
        <f>100</f>
        <v>100</v>
      </c>
    </row>
    <row r="42">
      <c r="A42" t="inlineStr" s="18">
        <is>
          <t xml:space="preserve">Net cash flow · Base and upside comparison · Main Scenario</t>
        </is>
      </c>
      <c r="B42" s="9">
        <f>'Model inputs'!B108-'Model inputs'!C37</f>
        <v>4756.200987770989</v>
      </c>
      <c r="D42" s="9">
        <f>'Model inputs'!D108-'Model inputs'!C37</f>
        <v>-144</v>
      </c>
      <c r="E42" s="9">
        <f>'Model inputs'!E108-'Model inputs'!C37</f>
        <v>12.000000000000057</v>
      </c>
      <c r="F42" s="9">
        <f>'Model inputs'!F108-'Model inputs'!C37</f>
        <v>168.0000000000001</v>
      </c>
      <c r="G42" s="9">
        <f>'Model inputs'!G108-'Model inputs'!C37</f>
        <v>224.16000000000008</v>
      </c>
      <c r="H42" s="9">
        <f>'Model inputs'!H108-'Model inputs'!C37</f>
        <v>287.05920000000003</v>
      </c>
      <c r="I42" s="9">
        <f>'Model inputs'!I108-'Model inputs'!C37</f>
        <v>357.5063040000001</v>
      </c>
      <c r="J42" s="9">
        <f>'Model inputs'!J108-'Model inputs'!C37</f>
        <v>436.40706048000004</v>
      </c>
      <c r="K42" s="9">
        <f>'Model inputs'!K108-'Model inputs'!C37</f>
        <v>524.7759077376</v>
      </c>
      <c r="L42" s="9">
        <f>'Model inputs'!L108-'Model inputs'!C37</f>
        <v>623.7490166661119</v>
      </c>
      <c r="M42" s="9">
        <f>'Model inputs'!M108-'Model inputs'!C37</f>
        <v>734.5988986660454</v>
      </c>
      <c r="N42" s="9">
        <f>'Model inputs'!N108-'Model inputs'!C37</f>
        <v>858.7507665059707</v>
      </c>
      <c r="O42" s="9">
        <f>'Model inputs'!O108-'Model inputs'!C37</f>
        <v>997.8008584866873</v>
      </c>
      <c r="P42" s="9">
        <f>'Model inputs'!P108-'Model inputs'!C37</f>
        <v>1153.5369615050897</v>
      </c>
      <c r="Q42" s="9">
        <f>'Model inputs'!Q108-'Model inputs'!C37</f>
        <v>1327.9613968857002</v>
      </c>
      <c r="R42" s="9">
        <f>'Model inputs'!R108-'Model inputs'!C37</f>
        <v>1523.3167645119845</v>
      </c>
      <c r="S42" s="9">
        <f>'Model inputs'!S108-'Model inputs'!C37</f>
        <v>1742.1147762534229</v>
      </c>
      <c r="T42" s="9">
        <f>'Model inputs'!T108-'Model inputs'!C37</f>
        <v>1987.1685494038334</v>
      </c>
      <c r="U42" s="9">
        <f>'Model inputs'!U108-'Model inputs'!C37</f>
        <v>2261.628775332293</v>
      </c>
      <c r="V42" s="9">
        <f>'Model inputs'!V108-'Model inputs'!C37</f>
        <v>2569.0242283721686</v>
      </c>
      <c r="W42" s="9">
        <f>'Model inputs'!W108-'Model inputs'!C37</f>
        <v>2913.307135776829</v>
      </c>
      <c r="X42" s="9">
        <f>'Model inputs'!X108-'Model inputs'!C37</f>
        <v>3298.903992070048</v>
      </c>
      <c r="Y42" s="9">
        <f>'Model inputs'!Y108-'Model inputs'!C37</f>
        <v>3730.7724711184537</v>
      </c>
      <c r="Z42" s="9">
        <f>'Model inputs'!Z108-'Model inputs'!C37</f>
        <v>4214.465167652669</v>
      </c>
      <c r="AA42" s="9">
        <v>0</v>
      </c>
    </row>
    <row r="43">
      <c r="A43" t="inlineStr" s="18">
        <is>
          <t xml:space="preserve">Net cash flow · Upshift — Upside</t>
        </is>
      </c>
      <c r="B43" s="9">
        <f>'Model inputs'!B109-'Model inputs'!AB101</f>
        <v>75862.6955005171</v>
      </c>
      <c r="D43" s="9">
        <f>'Model inputs'!D109-'Model inputs'!AB101</f>
        <v>90.00000000000006</v>
      </c>
      <c r="E43" s="9">
        <f>'Model inputs'!E109-'Model inputs'!AB101</f>
        <v>480.0000000000001</v>
      </c>
      <c r="F43" s="9">
        <f>'Model inputs'!F109-'Model inputs'!AB101</f>
        <v>870</v>
      </c>
      <c r="G43" s="9">
        <f>'Model inputs'!G109-'Model inputs'!AB101</f>
        <v>1127.4</v>
      </c>
      <c r="H43" s="9">
        <f>'Model inputs'!H109-'Model inputs'!AB101</f>
        <v>1441.4279999999999</v>
      </c>
      <c r="I43" s="9">
        <f>'Model inputs'!I109-'Model inputs'!AB101</f>
        <v>1824.54216</v>
      </c>
      <c r="J43" s="9">
        <f>'Model inputs'!J109-'Model inputs'!AB101</f>
        <v>2291.9414352</v>
      </c>
      <c r="K43" s="9">
        <f>'Model inputs'!K109-'Model inputs'!AB101</f>
        <v>2862.1685509440003</v>
      </c>
      <c r="L43" s="9">
        <f>'Model inputs'!L109-'Model inputs'!AB101</f>
        <v>3557.84563215168</v>
      </c>
      <c r="M43" s="9">
        <f>'Model inputs'!M109-'Model inputs'!AB101</f>
        <v>4406.5716712250505</v>
      </c>
      <c r="N43" s="9">
        <f>'Model inputs'!N109-'Model inputs'!AB101</f>
        <v>5442.017438894562</v>
      </c>
      <c r="O43" s="9">
        <f>'Model inputs'!O109-'Model inputs'!AB101</f>
        <v>6705.261275451365</v>
      </c>
      <c r="P43" s="9">
        <f>'Model inputs'!P109-'Model inputs'!AB101</f>
        <v>8246.418756050665</v>
      </c>
      <c r="Q43" s="9">
        <f>'Model inputs'!Q109-'Model inputs'!AB101</f>
        <v>10126.630882381813</v>
      </c>
      <c r="R43" s="9">
        <f>'Model inputs'!R109-'Model inputs'!AB101</f>
        <v>12420.489676505811</v>
      </c>
      <c r="S43" s="9">
        <f>'Model inputs'!S109-'Model inputs'!AB101</f>
        <v>15218.99740533709</v>
      </c>
      <c r="T43" s="9">
        <f>'Model inputs'!T109-'Model inputs'!AB101</f>
        <v>18633.17683451125</v>
      </c>
      <c r="U43" s="9">
        <f>'Model inputs'!U109-'Model inputs'!AB101</f>
        <v>22798.475738103727</v>
      </c>
      <c r="V43" s="9">
        <f>'Model inputs'!V109-'Model inputs'!AB101</f>
        <v>27880.14040048654</v>
      </c>
      <c r="W43" s="9">
        <f>'Model inputs'!W109-'Model inputs'!AB101</f>
        <v>34079.771288593576</v>
      </c>
      <c r="X43" s="9">
        <f>'Model inputs'!X109-'Model inputs'!AB101</f>
        <v>41643.32097208416</v>
      </c>
      <c r="Y43" s="9">
        <f>'Model inputs'!Y109-'Model inputs'!AB101</f>
        <v>50870.85158594269</v>
      </c>
      <c r="Z43" s="9">
        <f>'Model inputs'!Z109-'Model inputs'!AB101</f>
        <v>62128.438934850084</v>
      </c>
      <c r="AA43" s="9">
        <v>0</v>
      </c>
    </row>
    <row r="44">
      <c r="A44" t="inlineStr" s="18">
        <is>
          <t xml:space="preserve">New paid repositories · Base and upside comparison · Main Scenario</t>
        </is>
      </c>
      <c r="B44" s="10">
        <f>IF(IF(IF(ISERROR('Model inputs'!B23&lt;=3),'Model inputs'!B23&lt;=3,IF('Model inputs'!B23="","",'Model inputs'!B23&lt;=3))="",FALSE,IF(ISERROR('Model inputs'!B23&lt;=3),'Model inputs'!B23&lt;=3,IF('Model inputs'!B23="","",'Model inputs'!B23&lt;=3))),'Model inputs'!AB98/3+'Model inputs'!B14,'Model inputs'!B46*'Model inputs'!AB102)</f>
        <v>14.469439639912398</v>
      </c>
      <c r="D44" s="10">
        <f>IF(IF(IF(ISERROR('Model inputs'!D23&lt;=3),'Model inputs'!D23&lt;=3,IF('Model inputs'!D23="","",'Model inputs'!D23&lt;=3))="",FALSE,IF(ISERROR('Model inputs'!D23&lt;=3),'Model inputs'!D23&lt;=3,IF('Model inputs'!D23="","",'Model inputs'!D23&lt;=3))),'Model inputs'!AB98/3+'Model inputs'!D14,'Model inputs'!D46*'Model inputs'!AB102)</f>
        <v>3.3333333333333335</v>
      </c>
      <c r="E44" s="10">
        <f>IF(IF(IF(ISERROR('Model inputs'!E23&lt;=3),'Model inputs'!E23&lt;=3,IF('Model inputs'!E23="","",'Model inputs'!E23&lt;=3))="",FALSE,IF(ISERROR('Model inputs'!E23&lt;=3),'Model inputs'!E23&lt;=3,IF('Model inputs'!E23="","",'Model inputs'!E23&lt;=3))),'Model inputs'!AB98/3+'Model inputs'!E14,'Model inputs'!E46*'Model inputs'!AB102)</f>
        <v>3.4333333333333336</v>
      </c>
      <c r="F44" s="10">
        <f>IF(IF(IF(ISERROR('Model inputs'!F23&lt;=3),'Model inputs'!F23&lt;=3,IF('Model inputs'!F23="","",'Model inputs'!F23&lt;=3))="",FALSE,IF(ISERROR('Model inputs'!F23&lt;=3),'Model inputs'!F23&lt;=3,IF('Model inputs'!F23="","",'Model inputs'!F23&lt;=3))),'Model inputs'!AB98/3+'Model inputs'!F14,'Model inputs'!F46*'Model inputs'!AB102)</f>
        <v>3.5333333333333337</v>
      </c>
      <c r="G44" s="10">
        <f>IF(IF(IF(ISERROR('Model inputs'!G23&lt;=3),'Model inputs'!G23&lt;=3,IF('Model inputs'!G23="","",'Model inputs'!G23&lt;=3))="",FALSE,IF(ISERROR('Model inputs'!G23&lt;=3),'Model inputs'!G23&lt;=3,IF('Model inputs'!G23="","",'Model inputs'!G23&lt;=3))),'Model inputs'!AB98/3+'Model inputs'!G14,'Model inputs'!G46*'Model inputs'!AB102)</f>
        <v>1.5000000000000002</v>
      </c>
      <c r="H44" s="10">
        <f>IF(IF(IF(ISERROR('Model inputs'!H23&lt;=3),'Model inputs'!H23&lt;=3,IF('Model inputs'!H23="","",'Model inputs'!H23&lt;=3))="",FALSE,IF(ISERROR('Model inputs'!H23&lt;=3),'Model inputs'!H23&lt;=3,IF('Model inputs'!H23="","",'Model inputs'!H23&lt;=3))),'Model inputs'!AB98/3+'Model inputs'!H14,'Model inputs'!H46*'Model inputs'!AB102)</f>
        <v>1.6800000000000002</v>
      </c>
      <c r="I44" s="10">
        <f>IF(IF(IF(ISERROR('Model inputs'!I23&lt;=3),'Model inputs'!I23&lt;=3,IF('Model inputs'!I23="","",'Model inputs'!I23&lt;=3))="",FALSE,IF(ISERROR('Model inputs'!I23&lt;=3),'Model inputs'!I23&lt;=3,IF('Model inputs'!I23="","",'Model inputs'!I23&lt;=3))),'Model inputs'!AB98/3+'Model inputs'!I14,'Model inputs'!I46*'Model inputs'!AB102)</f>
        <v>1.8816</v>
      </c>
      <c r="J44" s="10">
        <f>IF(IF(IF(ISERROR('Model inputs'!J23&lt;=3),'Model inputs'!J23&lt;=3,IF('Model inputs'!J23="","",'Model inputs'!J23&lt;=3))="",FALSE,IF(ISERROR('Model inputs'!J23&lt;=3),'Model inputs'!J23&lt;=3,IF('Model inputs'!J23="","",'Model inputs'!J23&lt;=3))),'Model inputs'!AB98/3+'Model inputs'!J14,'Model inputs'!J46*'Model inputs'!AB102)</f>
        <v>2.107392</v>
      </c>
      <c r="K44" s="10">
        <f>IF(IF(IF(ISERROR('Model inputs'!K23&lt;=3),'Model inputs'!K23&lt;=3,IF('Model inputs'!K23="","",'Model inputs'!K23&lt;=3))="",FALSE,IF(ISERROR('Model inputs'!K23&lt;=3),'Model inputs'!K23&lt;=3,IF('Model inputs'!K23="","",'Model inputs'!K23&lt;=3))),'Model inputs'!AB98/3+'Model inputs'!K14,'Model inputs'!K46*'Model inputs'!AB102)</f>
        <v>2.36027904</v>
      </c>
      <c r="L44" s="10">
        <f>IF(IF(IF(ISERROR('Model inputs'!L23&lt;=3),'Model inputs'!L23&lt;=3,IF('Model inputs'!L23="","",'Model inputs'!L23&lt;=3))="",FALSE,IF(ISERROR('Model inputs'!L23&lt;=3),'Model inputs'!L23&lt;=3,IF('Model inputs'!L23="","",'Model inputs'!L23&lt;=3))),'Model inputs'!AB98/3+'Model inputs'!L14,'Model inputs'!L46*'Model inputs'!AB102)</f>
        <v>2.6435125247999998</v>
      </c>
      <c r="M44" s="10">
        <f>IF(IF(IF(ISERROR('Model inputs'!M23&lt;=3),'Model inputs'!M23&lt;=3,IF('Model inputs'!M23="","",'Model inputs'!M23&lt;=3))="",FALSE,IF(ISERROR('Model inputs'!M23&lt;=3),'Model inputs'!M23&lt;=3,IF('Model inputs'!M23="","",'Model inputs'!M23&lt;=3))),'Model inputs'!AB98/3+'Model inputs'!M14,'Model inputs'!M46*'Model inputs'!AB102)</f>
        <v>2.9607340277759993</v>
      </c>
      <c r="N44" s="10">
        <f>IF(IF(IF(ISERROR('Model inputs'!N23&lt;=3),'Model inputs'!N23&lt;=3,IF('Model inputs'!N23="","",'Model inputs'!N23&lt;=3))="",FALSE,IF(ISERROR('Model inputs'!N23&lt;=3),'Model inputs'!N23&lt;=3,IF('Model inputs'!N23="","",'Model inputs'!N23&lt;=3))),'Model inputs'!AB98/3+'Model inputs'!N14,'Model inputs'!N46*'Model inputs'!AB102)</f>
        <v>3.3160221111091195</v>
      </c>
      <c r="O44" s="10">
        <f>IF(IF(IF(ISERROR('Model inputs'!O23&lt;=3),'Model inputs'!O23&lt;=3,IF('Model inputs'!O23="","",'Model inputs'!O23&lt;=3))="",FALSE,IF(ISERROR('Model inputs'!O23&lt;=3),'Model inputs'!O23&lt;=3,IF('Model inputs'!O23="","",'Model inputs'!O23&lt;=3))),'Model inputs'!AB98/3+'Model inputs'!O14,'Model inputs'!O46*'Model inputs'!AB102)</f>
        <v>3.7139447644422137</v>
      </c>
      <c r="P44" s="10">
        <f>IF(IF(IF(ISERROR('Model inputs'!P23&lt;=3),'Model inputs'!P23&lt;=3,IF('Model inputs'!P23="","",'Model inputs'!P23&lt;=3))="",FALSE,IF(ISERROR('Model inputs'!P23&lt;=3),'Model inputs'!P23&lt;=3,IF('Model inputs'!P23="","",'Model inputs'!P23&lt;=3))),'Model inputs'!AB98/3+'Model inputs'!P14,'Model inputs'!P46*'Model inputs'!AB102)</f>
        <v>4.159618136175279</v>
      </c>
      <c r="Q44" s="10">
        <f>IF(IF(IF(ISERROR('Model inputs'!Q23&lt;=3),'Model inputs'!Q23&lt;=3,IF('Model inputs'!Q23="","",'Model inputs'!Q23&lt;=3))="",FALSE,IF(ISERROR('Model inputs'!Q23&lt;=3),'Model inputs'!Q23&lt;=3,IF('Model inputs'!Q23="","",'Model inputs'!Q23&lt;=3))),'Model inputs'!AB98/3+'Model inputs'!Q14,'Model inputs'!Q46*'Model inputs'!AB102)</f>
        <v>4.658772312516313</v>
      </c>
      <c r="R44" s="10">
        <f>IF(IF(IF(ISERROR('Model inputs'!R23&lt;=3),'Model inputs'!R23&lt;=3,IF('Model inputs'!R23="","",'Model inputs'!R23&lt;=3))="",FALSE,IF(ISERROR('Model inputs'!R23&lt;=3),'Model inputs'!R23&lt;=3,IF('Model inputs'!R23="","",'Model inputs'!R23&lt;=3))),'Model inputs'!AB98/3+'Model inputs'!R14,'Model inputs'!R46*'Model inputs'!AB102)</f>
        <v>5.21782499001827</v>
      </c>
      <c r="S44" s="10">
        <f>IF(IF(IF(ISERROR('Model inputs'!S23&lt;=3),'Model inputs'!S23&lt;=3,IF('Model inputs'!S23="","",'Model inputs'!S23&lt;=3))="",FALSE,IF(ISERROR('Model inputs'!S23&lt;=3),'Model inputs'!S23&lt;=3,IF('Model inputs'!S23="","",'Model inputs'!S23&lt;=3))),'Model inputs'!AB98/3+'Model inputs'!S14,'Model inputs'!S46*'Model inputs'!AB102)</f>
        <v>5.843963988820463</v>
      </c>
      <c r="T44" s="10">
        <f>IF(IF(IF(ISERROR('Model inputs'!T23&lt;=3),'Model inputs'!T23&lt;=3,IF('Model inputs'!T23="","",'Model inputs'!T23&lt;=3))="",FALSE,IF(ISERROR('Model inputs'!T23&lt;=3),'Model inputs'!T23&lt;=3,IF('Model inputs'!T23="","",'Model inputs'!T23&lt;=3))),'Model inputs'!AB98/3+'Model inputs'!T14,'Model inputs'!T46*'Model inputs'!AB102)</f>
        <v>6.545239667478919</v>
      </c>
      <c r="U44" s="10">
        <f>IF(IF(IF(ISERROR('Model inputs'!U23&lt;=3),'Model inputs'!U23&lt;=3,IF('Model inputs'!U23="","",'Model inputs'!U23&lt;=3))="",FALSE,IF(ISERROR('Model inputs'!U23&lt;=3),'Model inputs'!U23&lt;=3,IF('Model inputs'!U23="","",'Model inputs'!U23&lt;=3))),'Model inputs'!AB98/3+'Model inputs'!U14,'Model inputs'!U46*'Model inputs'!AB102)</f>
        <v>7.330668427576389</v>
      </c>
      <c r="V44" s="10">
        <f>IF(IF(IF(ISERROR('Model inputs'!V23&lt;=3),'Model inputs'!V23&lt;=3,IF('Model inputs'!V23="","",'Model inputs'!V23&lt;=3))="",FALSE,IF(ISERROR('Model inputs'!V23&lt;=3),'Model inputs'!V23&lt;=3,IF('Model inputs'!V23="","",'Model inputs'!V23&lt;=3))),'Model inputs'!AB98/3+'Model inputs'!V14,'Model inputs'!V46*'Model inputs'!AB102)</f>
        <v>8.210348638885556</v>
      </c>
      <c r="W44" s="10">
        <f>IF(IF(IF(ISERROR('Model inputs'!W23&lt;=3),'Model inputs'!W23&lt;=3,IF('Model inputs'!W23="","",'Model inputs'!W23&lt;=3))="",FALSE,IF(ISERROR('Model inputs'!W23&lt;=3),'Model inputs'!W23&lt;=3,IF('Model inputs'!W23="","",'Model inputs'!W23&lt;=3))),'Model inputs'!AB98/3+'Model inputs'!W14,'Model inputs'!W46*'Model inputs'!AB102)</f>
        <v>9.195590475551821</v>
      </c>
      <c r="X44" s="10">
        <f>IF(IF(IF(ISERROR('Model inputs'!X23&lt;=3),'Model inputs'!X23&lt;=3,IF('Model inputs'!X23="","",'Model inputs'!X23&lt;=3))="",FALSE,IF(ISERROR('Model inputs'!X23&lt;=3),'Model inputs'!X23&lt;=3,IF('Model inputs'!X23="","",'Model inputs'!X23&lt;=3))),'Model inputs'!AB98/3+'Model inputs'!X14,'Model inputs'!X46*'Model inputs'!AB102)</f>
        <v>10.29906133261804</v>
      </c>
      <c r="Y44" s="10">
        <f>IF(IF(IF(ISERROR('Model inputs'!Y23&lt;=3),'Model inputs'!Y23&lt;=3,IF('Model inputs'!Y23="","",'Model inputs'!Y23&lt;=3))="",FALSE,IF(ISERROR('Model inputs'!Y23&lt;=3),'Model inputs'!Y23&lt;=3,IF('Model inputs'!Y23="","",'Model inputs'!Y23&lt;=3))),'Model inputs'!AB98/3+'Model inputs'!Y14,'Model inputs'!Y46*'Model inputs'!AB102)</f>
        <v>11.534948692532206</v>
      </c>
      <c r="Z44" s="10">
        <f>IF(IF(IF(ISERROR('Model inputs'!Z23&lt;=3),'Model inputs'!Z23&lt;=3,IF('Model inputs'!Z23="","",'Model inputs'!Z23&lt;=3))="",FALSE,IF(ISERROR('Model inputs'!Z23&lt;=3),'Model inputs'!Z23&lt;=3,IF('Model inputs'!Z23="","",'Model inputs'!Z23&lt;=3))),'Model inputs'!AB98/3+'Model inputs'!Z14,'Model inputs'!Z46*'Model inputs'!AB102)</f>
        <v>12.91914253563607</v>
      </c>
      <c r="AA44" s="10">
        <v>0</v>
      </c>
    </row>
    <row r="45">
      <c r="A45" t="inlineStr" s="18">
        <is>
          <t xml:space="preserve">New paid repositories · Upshift — Upside</t>
        </is>
      </c>
      <c r="B45" s="10">
        <f>IF(IF(IF(ISERROR('Model inputs'!B24&lt;=3),'Model inputs'!B24&lt;=3,IF('Model inputs'!B24="","",'Model inputs'!B24&lt;=3))="",FALSE,IF(ISERROR('Model inputs'!B24&lt;=3),'Model inputs'!B24&lt;=3,IF('Model inputs'!B24="","",'Model inputs'!B24&lt;=3))),'Model inputs'!AB99/3+'Model inputs'!B15,'Model inputs'!B47*'Model inputs'!AB103)</f>
        <v>333.485250720353</v>
      </c>
      <c r="D45" s="10">
        <f>IF(IF(IF(ISERROR('Model inputs'!D24&lt;=3),'Model inputs'!D24&lt;=3,IF('Model inputs'!D24="","",'Model inputs'!D24&lt;=3))="",FALSE,IF(ISERROR('Model inputs'!D24&lt;=3),'Model inputs'!D24&lt;=3,IF('Model inputs'!D24="","",'Model inputs'!D24&lt;=3))),'Model inputs'!AB99/3+'Model inputs'!D15,'Model inputs'!D47*'Model inputs'!AB103)</f>
        <v>8.333333333333334</v>
      </c>
      <c r="E45" s="10">
        <f>IF(IF(IF(ISERROR('Model inputs'!E24&lt;=3),'Model inputs'!E24&lt;=3,IF('Model inputs'!E24="","",'Model inputs'!E24&lt;=3))="",FALSE,IF(ISERROR('Model inputs'!E24&lt;=3),'Model inputs'!E24&lt;=3,IF('Model inputs'!E24="","",'Model inputs'!E24&lt;=3))),'Model inputs'!AB99/3+'Model inputs'!E15,'Model inputs'!E47*'Model inputs'!AB103)</f>
        <v>8.583333333333334</v>
      </c>
      <c r="F45" s="10">
        <f>IF(IF(IF(ISERROR('Model inputs'!F24&lt;=3),'Model inputs'!F24&lt;=3,IF('Model inputs'!F24="","",'Model inputs'!F24&lt;=3))="",FALSE,IF(ISERROR('Model inputs'!F24&lt;=3),'Model inputs'!F24&lt;=3,IF('Model inputs'!F24="","",'Model inputs'!F24&lt;=3))),'Model inputs'!AB99/3+'Model inputs'!F15,'Model inputs'!F47*'Model inputs'!AB103)</f>
        <v>8.833333333333334</v>
      </c>
      <c r="G45" s="10">
        <f>IF(IF(IF(ISERROR('Model inputs'!G24&lt;=3),'Model inputs'!G24&lt;=3,IF('Model inputs'!G24="","",'Model inputs'!G24&lt;=3))="",FALSE,IF(ISERROR('Model inputs'!G24&lt;=3),'Model inputs'!G24&lt;=3,IF('Model inputs'!G24="","",'Model inputs'!G24&lt;=3))),'Model inputs'!AB99/3+'Model inputs'!G15,'Model inputs'!G47*'Model inputs'!AB103)</f>
        <v>6.25</v>
      </c>
      <c r="H45" s="10">
        <f>IF(IF(IF(ISERROR('Model inputs'!H24&lt;=3),'Model inputs'!H24&lt;=3,IF('Model inputs'!H24="","",'Model inputs'!H24&lt;=3))="",FALSE,IF(ISERROR('Model inputs'!H24&lt;=3),'Model inputs'!H24&lt;=3,IF('Model inputs'!H24="","",'Model inputs'!H24&lt;=3))),'Model inputs'!AB99/3+'Model inputs'!H15,'Model inputs'!H47*'Model inputs'!AB103)</f>
        <v>7.625</v>
      </c>
      <c r="I45" s="10">
        <f>IF(IF(IF(ISERROR('Model inputs'!I24&lt;=3),'Model inputs'!I24&lt;=3,IF('Model inputs'!I24="","",'Model inputs'!I24&lt;=3))="",FALSE,IF(ISERROR('Model inputs'!I24&lt;=3),'Model inputs'!I24&lt;=3,IF('Model inputs'!I24="","",'Model inputs'!I24&lt;=3))),'Model inputs'!AB99/3+'Model inputs'!I15,'Model inputs'!I47*'Model inputs'!AB103)</f>
        <v>9.3025</v>
      </c>
      <c r="J45" s="10">
        <f>IF(IF(IF(ISERROR('Model inputs'!J24&lt;=3),'Model inputs'!J24&lt;=3,IF('Model inputs'!J24="","",'Model inputs'!J24&lt;=3))="",FALSE,IF(ISERROR('Model inputs'!J24&lt;=3),'Model inputs'!J24&lt;=3,IF('Model inputs'!J24="","",'Model inputs'!J24&lt;=3))),'Model inputs'!AB99/3+'Model inputs'!J15,'Model inputs'!J47*'Model inputs'!AB103)</f>
        <v>11.34905</v>
      </c>
      <c r="K45" s="10">
        <f>IF(IF(IF(ISERROR('Model inputs'!K24&lt;=3),'Model inputs'!K24&lt;=3,IF('Model inputs'!K24="","",'Model inputs'!K24&lt;=3))="",FALSE,IF(ISERROR('Model inputs'!K24&lt;=3),'Model inputs'!K24&lt;=3,IF('Model inputs'!K24="","",'Model inputs'!K24&lt;=3))),'Model inputs'!AB99/3+'Model inputs'!K15,'Model inputs'!K47*'Model inputs'!AB103)</f>
        <v>13.845841</v>
      </c>
      <c r="L45" s="10">
        <f>IF(IF(IF(ISERROR('Model inputs'!L24&lt;=3),'Model inputs'!L24&lt;=3,IF('Model inputs'!L24="","",'Model inputs'!L24&lt;=3))="",FALSE,IF(ISERROR('Model inputs'!L24&lt;=3),'Model inputs'!L24&lt;=3,IF('Model inputs'!L24="","",'Model inputs'!L24&lt;=3))),'Model inputs'!AB99/3+'Model inputs'!L15,'Model inputs'!L47*'Model inputs'!AB103)</f>
        <v>16.891926020000003</v>
      </c>
      <c r="M45" s="10">
        <f>IF(IF(IF(ISERROR('Model inputs'!M24&lt;=3),'Model inputs'!M24&lt;=3,IF('Model inputs'!M24="","",'Model inputs'!M24&lt;=3))="",FALSE,IF(ISERROR('Model inputs'!M24&lt;=3),'Model inputs'!M24&lt;=3,IF('Model inputs'!M24="","",'Model inputs'!M24&lt;=3))),'Model inputs'!AB99/3+'Model inputs'!M15,'Model inputs'!M47*'Model inputs'!AB103)</f>
        <v>20.608149744400002</v>
      </c>
      <c r="N45" s="10">
        <f>IF(IF(IF(ISERROR('Model inputs'!N24&lt;=3),'Model inputs'!N24&lt;=3,IF('Model inputs'!N24="","",'Model inputs'!N24&lt;=3))="",FALSE,IF(ISERROR('Model inputs'!N24&lt;=3),'Model inputs'!N24&lt;=3,IF('Model inputs'!N24="","",'Model inputs'!N24&lt;=3))),'Model inputs'!AB99/3+'Model inputs'!N15,'Model inputs'!N47*'Model inputs'!AB103)</f>
        <v>25.141942688168005</v>
      </c>
      <c r="O45" s="10">
        <f>IF(IF(IF(ISERROR('Model inputs'!O24&lt;=3),'Model inputs'!O24&lt;=3,IF('Model inputs'!O24="","",'Model inputs'!O24&lt;=3))="",FALSE,IF(ISERROR('Model inputs'!O24&lt;=3),'Model inputs'!O24&lt;=3,IF('Model inputs'!O24="","",'Model inputs'!O24&lt;=3))),'Model inputs'!AB99/3+'Model inputs'!O15,'Model inputs'!O47*'Model inputs'!AB103)</f>
        <v>30.673170079564965</v>
      </c>
      <c r="P45" s="10">
        <f>IF(IF(IF(ISERROR('Model inputs'!P24&lt;=3),'Model inputs'!P24&lt;=3,IF('Model inputs'!P24="","",'Model inputs'!P24&lt;=3))="",FALSE,IF(ISERROR('Model inputs'!P24&lt;=3),'Model inputs'!P24&lt;=3,IF('Model inputs'!P24="","",'Model inputs'!P24&lt;=3))),'Model inputs'!AB99/3+'Model inputs'!P15,'Model inputs'!P47*'Model inputs'!AB103)</f>
        <v>37.42126749706926</v>
      </c>
      <c r="Q45" s="10">
        <f>IF(IF(IF(ISERROR('Model inputs'!Q24&lt;=3),'Model inputs'!Q24&lt;=3,IF('Model inputs'!Q24="","",'Model inputs'!Q24&lt;=3))="",FALSE,IF(ISERROR('Model inputs'!Q24&lt;=3),'Model inputs'!Q24&lt;=3,IF('Model inputs'!Q24="","",'Model inputs'!Q24&lt;=3))),'Model inputs'!AB99/3+'Model inputs'!Q15,'Model inputs'!Q47*'Model inputs'!AB103)</f>
        <v>45.6539463464245</v>
      </c>
      <c r="R45" s="10">
        <f>IF(IF(IF(ISERROR('Model inputs'!R24&lt;=3),'Model inputs'!R24&lt;=3,IF('Model inputs'!R24="","",'Model inputs'!R24&lt;=3))="",FALSE,IF(ISERROR('Model inputs'!R24&lt;=3),'Model inputs'!R24&lt;=3,IF('Model inputs'!R24="","",'Model inputs'!R24&lt;=3))),'Model inputs'!AB99/3+'Model inputs'!R15,'Model inputs'!R47*'Model inputs'!AB103)</f>
        <v>55.697814542637886</v>
      </c>
      <c r="S45" s="10">
        <f>IF(IF(IF(ISERROR('Model inputs'!S24&lt;=3),'Model inputs'!S24&lt;=3,IF('Model inputs'!S24="","",'Model inputs'!S24&lt;=3))="",FALSE,IF(ISERROR('Model inputs'!S24&lt;=3),'Model inputs'!S24&lt;=3,IF('Model inputs'!S24="","",'Model inputs'!S24&lt;=3))),'Model inputs'!AB99/3+'Model inputs'!S15,'Model inputs'!S47*'Model inputs'!AB103)</f>
        <v>67.95133374201822</v>
      </c>
      <c r="T45" s="10">
        <f>IF(IF(IF(ISERROR('Model inputs'!T24&lt;=3),'Model inputs'!T24&lt;=3,IF('Model inputs'!T24="","",'Model inputs'!T24&lt;=3))="",FALSE,IF(ISERROR('Model inputs'!T24&lt;=3),'Model inputs'!T24&lt;=3,IF('Model inputs'!T24="","",'Model inputs'!T24&lt;=3))),'Model inputs'!AB99/3+'Model inputs'!T15,'Model inputs'!T47*'Model inputs'!AB103)</f>
        <v>82.90062716526224</v>
      </c>
      <c r="U45" s="10">
        <f>IF(IF(IF(ISERROR('Model inputs'!U24&lt;=3),'Model inputs'!U24&lt;=3,IF('Model inputs'!U24="","",'Model inputs'!U24&lt;=3))="",FALSE,IF(ISERROR('Model inputs'!U24&lt;=3),'Model inputs'!U24&lt;=3,IF('Model inputs'!U24="","",'Model inputs'!U24&lt;=3))),'Model inputs'!AB99/3+'Model inputs'!U15,'Model inputs'!U47*'Model inputs'!AB103)</f>
        <v>101.13876514161993</v>
      </c>
      <c r="V45" s="10">
        <f>IF(IF(IF(ISERROR('Model inputs'!V24&lt;=3),'Model inputs'!V24&lt;=3,IF('Model inputs'!V24="","",'Model inputs'!V24&lt;=3))="",FALSE,IF(ISERROR('Model inputs'!V24&lt;=3),'Model inputs'!V24&lt;=3,IF('Model inputs'!V24="","",'Model inputs'!V24&lt;=3))),'Model inputs'!AB99/3+'Model inputs'!V15,'Model inputs'!V47*'Model inputs'!AB103)</f>
        <v>123.38929347277632</v>
      </c>
      <c r="W45" s="10">
        <f>IF(IF(IF(ISERROR('Model inputs'!W24&lt;=3),'Model inputs'!W24&lt;=3,IF('Model inputs'!W24="","",'Model inputs'!W24&lt;=3))="",FALSE,IF(ISERROR('Model inputs'!W24&lt;=3),'Model inputs'!W24&lt;=3,IF('Model inputs'!W24="","",'Model inputs'!W24&lt;=3))),'Model inputs'!AB99/3+'Model inputs'!W15,'Model inputs'!W47*'Model inputs'!AB103)</f>
        <v>150.53493803678708</v>
      </c>
      <c r="X45" s="10">
        <f>IF(IF(IF(ISERROR('Model inputs'!X24&lt;=3),'Model inputs'!X24&lt;=3,IF('Model inputs'!X24="","",'Model inputs'!X24&lt;=3))="",FALSE,IF(ISERROR('Model inputs'!X24&lt;=3),'Model inputs'!X24&lt;=3,IF('Model inputs'!X24="","",'Model inputs'!X24&lt;=3))),'Model inputs'!AB99/3+'Model inputs'!X15,'Model inputs'!X47*'Model inputs'!AB103)</f>
        <v>183.6526244048802</v>
      </c>
      <c r="Y45" s="10">
        <f>IF(IF(IF(ISERROR('Model inputs'!Y24&lt;=3),'Model inputs'!Y24&lt;=3,IF('Model inputs'!Y24="","",'Model inputs'!Y24&lt;=3))="",FALSE,IF(ISERROR('Model inputs'!Y24&lt;=3),'Model inputs'!Y24&lt;=3,IF('Model inputs'!Y24="","",'Model inputs'!Y24&lt;=3))),'Model inputs'!AB99/3+'Model inputs'!Y15,'Model inputs'!Y47*'Model inputs'!AB103)</f>
        <v>224.0562017739539</v>
      </c>
      <c r="Z45" s="10">
        <f>IF(IF(IF(ISERROR('Model inputs'!Z24&lt;=3),'Model inputs'!Z24&lt;=3,IF('Model inputs'!Z24="","",'Model inputs'!Z24&lt;=3))="",FALSE,IF(ISERROR('Model inputs'!Z24&lt;=3),'Model inputs'!Z24&lt;=3,IF('Model inputs'!Z24="","",'Model inputs'!Z24&lt;=3))),'Model inputs'!AB99/3+'Model inputs'!Z15,'Model inputs'!Z47*'Model inputs'!AB103)</f>
        <v>273.34856616422377</v>
      </c>
      <c r="AA45" s="10">
        <v>0</v>
      </c>
    </row>
    <row r="46">
      <c r="A46" t="inlineStr" s="18">
        <is>
          <t xml:space="preserve">Opening paid repositories · Base and upside comparison · Main Scenario</t>
        </is>
      </c>
      <c r="B46" s="10">
        <f>IF(IF(IF(ISERROR('Model inputs'!B23=1),'Model inputs'!B23=1,IF('Model inputs'!B23="","",'Model inputs'!B23=1))="",FALSE,IF(ISERROR('Model inputs'!B23=1),'Model inputs'!B23=1,IF('Model inputs'!B23="","",'Model inputs'!B23=1))),0,IF('Model inputs'!Z51="","",'Model inputs'!Z51))</f>
        <v>96.46293093274933</v>
      </c>
      <c r="D46" s="10">
        <f>IF(IF(IF(ISERROR('Model inputs'!D23=1),'Model inputs'!D23=1,IF('Model inputs'!D23="","",'Model inputs'!D23=1))="",FALSE,IF(ISERROR('Model inputs'!D23=1),'Model inputs'!D23=1,IF('Model inputs'!D23="","",'Model inputs'!D23=1))),0,IF('Model inputs'!AA51="","",'Model inputs'!AA51))</f>
        <v>0</v>
      </c>
      <c r="E46" s="10">
        <f>IF(IF(IF(ISERROR('Model inputs'!E23=1),'Model inputs'!E23=1,IF('Model inputs'!E23="","",'Model inputs'!E23=1))="",FALSE,IF(ISERROR('Model inputs'!E23=1),'Model inputs'!E23=1,IF('Model inputs'!E23="","",'Model inputs'!E23=1))),0,IF('Model inputs'!D51="","",'Model inputs'!D51))</f>
        <v>3.3333333333333335</v>
      </c>
      <c r="F46" s="10">
        <f>IF(IF(IF(ISERROR('Model inputs'!F23=1),'Model inputs'!F23=1,IF('Model inputs'!F23="","",'Model inputs'!F23=1))="",FALSE,IF(ISERROR('Model inputs'!F23=1),'Model inputs'!F23=1,IF('Model inputs'!F23="","",'Model inputs'!F23=1))),0,IF('Model inputs'!E51="","",'Model inputs'!E51))</f>
        <v>6.666666666666668</v>
      </c>
      <c r="G46" s="10">
        <f>IF(IF(IF(ISERROR('Model inputs'!G23=1),'Model inputs'!G23=1,IF('Model inputs'!G23="","",'Model inputs'!G23=1))="",FALSE,IF(ISERROR('Model inputs'!G23=1),'Model inputs'!G23=1,IF('Model inputs'!G23="","",'Model inputs'!G23=1))),0,IF('Model inputs'!F51="","",'Model inputs'!F51))</f>
        <v>10.000000000000002</v>
      </c>
      <c r="H46" s="10">
        <f>IF(IF(IF(ISERROR('Model inputs'!H23=1),'Model inputs'!H23=1,IF('Model inputs'!H23="","",'Model inputs'!H23=1))="",FALSE,IF(ISERROR('Model inputs'!H23=1),'Model inputs'!H23=1,IF('Model inputs'!H23="","",'Model inputs'!H23=1))),0,IF('Model inputs'!G51="","",'Model inputs'!G51))</f>
        <v>11.200000000000001</v>
      </c>
      <c r="I46" s="10">
        <f>IF(IF(IF(ISERROR('Model inputs'!I23=1),'Model inputs'!I23=1,IF('Model inputs'!I23="","",'Model inputs'!I23=1))="",FALSE,IF(ISERROR('Model inputs'!I23=1),'Model inputs'!I23=1,IF('Model inputs'!I23="","",'Model inputs'!I23=1))),0,IF('Model inputs'!H51="","",'Model inputs'!H51))</f>
        <v>12.544</v>
      </c>
      <c r="J46" s="10">
        <f>IF(IF(IF(ISERROR('Model inputs'!J23=1),'Model inputs'!J23=1,IF('Model inputs'!J23="","",'Model inputs'!J23=1))="",FALSE,IF(ISERROR('Model inputs'!J23=1),'Model inputs'!J23=1,IF('Model inputs'!J23="","",'Model inputs'!J23=1))),0,IF('Model inputs'!I51="","",'Model inputs'!I51))</f>
        <v>14.049280000000001</v>
      </c>
      <c r="K46" s="10">
        <f>IF(IF(IF(ISERROR('Model inputs'!K23=1),'Model inputs'!K23=1,IF('Model inputs'!K23="","",'Model inputs'!K23=1))="",FALSE,IF(ISERROR('Model inputs'!K23=1),'Model inputs'!K23=1,IF('Model inputs'!K23="","",'Model inputs'!K23=1))),0,IF('Model inputs'!J51="","",'Model inputs'!J51))</f>
        <v>15.7351936</v>
      </c>
      <c r="L46" s="10">
        <f>IF(IF(IF(ISERROR('Model inputs'!L23=1),'Model inputs'!L23=1,IF('Model inputs'!L23="","",'Model inputs'!L23=1))="",FALSE,IF(ISERROR('Model inputs'!L23=1),'Model inputs'!L23=1,IF('Model inputs'!L23="","",'Model inputs'!L23=1))),0,IF('Model inputs'!K51="","",'Model inputs'!K51))</f>
        <v>17.623416832</v>
      </c>
      <c r="M46" s="10">
        <f>IF(IF(IF(ISERROR('Model inputs'!M23=1),'Model inputs'!M23=1,IF('Model inputs'!M23="","",'Model inputs'!M23=1))="",FALSE,IF(ISERROR('Model inputs'!M23=1),'Model inputs'!M23=1,IF('Model inputs'!M23="","",'Model inputs'!M23=1))),0,IF('Model inputs'!L51="","",'Model inputs'!L51))</f>
        <v>19.738226851839997</v>
      </c>
      <c r="N46" s="10">
        <f>IF(IF(IF(ISERROR('Model inputs'!N23=1),'Model inputs'!N23=1,IF('Model inputs'!N23="","",'Model inputs'!N23=1))="",FALSE,IF(ISERROR('Model inputs'!N23=1),'Model inputs'!N23=1,IF('Model inputs'!N23="","",'Model inputs'!N23=1))),0,IF('Model inputs'!M51="","",'Model inputs'!M51))</f>
        <v>22.106814074060797</v>
      </c>
      <c r="O46" s="10">
        <f>IF(IF(IF(ISERROR('Model inputs'!O23=1),'Model inputs'!O23=1,IF('Model inputs'!O23="","",'Model inputs'!O23=1))="",FALSE,IF(ISERROR('Model inputs'!O23=1),'Model inputs'!O23=1,IF('Model inputs'!O23="","",'Model inputs'!O23=1))),0,IF('Model inputs'!N51="","",'Model inputs'!N51))</f>
        <v>24.759631762948093</v>
      </c>
      <c r="P46" s="10">
        <f>IF(IF(IF(ISERROR('Model inputs'!P23=1),'Model inputs'!P23=1,IF('Model inputs'!P23="","",'Model inputs'!P23=1))="",FALSE,IF(ISERROR('Model inputs'!P23=1),'Model inputs'!P23=1,IF('Model inputs'!P23="","",'Model inputs'!P23=1))),0,IF('Model inputs'!O51="","",'Model inputs'!O51))</f>
        <v>27.730787574501864</v>
      </c>
      <c r="Q46" s="10">
        <f>IF(IF(IF(ISERROR('Model inputs'!Q23=1),'Model inputs'!Q23=1,IF('Model inputs'!Q23="","",'Model inputs'!Q23=1))="",FALSE,IF(ISERROR('Model inputs'!Q23=1),'Model inputs'!Q23=1,IF('Model inputs'!Q23="","",'Model inputs'!Q23=1))),0,IF('Model inputs'!P51="","",'Model inputs'!P51))</f>
        <v>31.058482083442087</v>
      </c>
      <c r="R46" s="10">
        <f>IF(IF(IF(ISERROR('Model inputs'!R23=1),'Model inputs'!R23=1,IF('Model inputs'!R23="","",'Model inputs'!R23=1))="",FALSE,IF(ISERROR('Model inputs'!R23=1),'Model inputs'!R23=1,IF('Model inputs'!R23="","",'Model inputs'!R23=1))),0,IF('Model inputs'!Q51="","",'Model inputs'!Q51))</f>
        <v>34.785499933455135</v>
      </c>
      <c r="S46" s="10">
        <f>IF(IF(IF(ISERROR('Model inputs'!S23=1),'Model inputs'!S23=1,IF('Model inputs'!S23="","",'Model inputs'!S23=1))="",FALSE,IF(ISERROR('Model inputs'!S23=1),'Model inputs'!S23=1,IF('Model inputs'!S23="","",'Model inputs'!S23=1))),0,IF('Model inputs'!R51="","",'Model inputs'!R51))</f>
        <v>38.959759925469754</v>
      </c>
      <c r="T46" s="10">
        <f>IF(IF(IF(ISERROR('Model inputs'!T23=1),'Model inputs'!T23=1,IF('Model inputs'!T23="","",'Model inputs'!T23=1))="",FALSE,IF(ISERROR('Model inputs'!T23=1),'Model inputs'!T23=1,IF('Model inputs'!T23="","",'Model inputs'!T23=1))),0,IF('Model inputs'!S51="","",'Model inputs'!S51))</f>
        <v>43.634931116526126</v>
      </c>
      <c r="U46" s="10">
        <f>IF(IF(IF(ISERROR('Model inputs'!U23=1),'Model inputs'!U23=1,IF('Model inputs'!U23="","",'Model inputs'!U23=1))="",FALSE,IF(ISERROR('Model inputs'!U23=1),'Model inputs'!U23=1,IF('Model inputs'!U23="","",'Model inputs'!U23=1))),0,IF('Model inputs'!T51="","",'Model inputs'!T51))</f>
        <v>48.87112285050926</v>
      </c>
      <c r="V46" s="10">
        <f>IF(IF(IF(ISERROR('Model inputs'!V23=1),'Model inputs'!V23=1,IF('Model inputs'!V23="","",'Model inputs'!V23=1))="",FALSE,IF(ISERROR('Model inputs'!V23=1),'Model inputs'!V23=1,IF('Model inputs'!V23="","",'Model inputs'!V23=1))),0,IF('Model inputs'!U51="","",'Model inputs'!U51))</f>
        <v>54.73565759257037</v>
      </c>
      <c r="W46" s="10">
        <f>IF(IF(IF(ISERROR('Model inputs'!W23=1),'Model inputs'!W23=1,IF('Model inputs'!W23="","",'Model inputs'!W23=1))="",FALSE,IF(ISERROR('Model inputs'!W23=1),'Model inputs'!W23=1,IF('Model inputs'!W23="","",'Model inputs'!W23=1))),0,IF('Model inputs'!V51="","",'Model inputs'!V51))</f>
        <v>61.30393650367881</v>
      </c>
      <c r="X46" s="10">
        <f>IF(IF(IF(ISERROR('Model inputs'!X23=1),'Model inputs'!X23=1,IF('Model inputs'!X23="","",'Model inputs'!X23=1))="",FALSE,IF(ISERROR('Model inputs'!X23=1),'Model inputs'!X23=1,IF('Model inputs'!X23="","",'Model inputs'!X23=1))),0,IF('Model inputs'!W51="","",'Model inputs'!W51))</f>
        <v>68.66040888412027</v>
      </c>
      <c r="Y46" s="10">
        <f>IF(IF(IF(ISERROR('Model inputs'!Y23=1),'Model inputs'!Y23=1,IF('Model inputs'!Y23="","",'Model inputs'!Y23=1))="",FALSE,IF(ISERROR('Model inputs'!Y23=1),'Model inputs'!Y23=1,IF('Model inputs'!Y23="","",'Model inputs'!Y23=1))),0,IF('Model inputs'!X51="","",'Model inputs'!X51))</f>
        <v>76.8996579502147</v>
      </c>
      <c r="Z46" s="10">
        <f>IF(IF(IF(ISERROR('Model inputs'!Z23=1),'Model inputs'!Z23=1,IF('Model inputs'!Z23="","",'Model inputs'!Z23=1))="",FALSE,IF(ISERROR('Model inputs'!Z23=1),'Model inputs'!Z23=1,IF('Model inputs'!Z23="","",'Model inputs'!Z23=1))),0,IF('Model inputs'!Y51="","",'Model inputs'!Y51))</f>
        <v>86.12761690424047</v>
      </c>
      <c r="AA46" s="10">
        <v>0</v>
      </c>
    </row>
    <row r="47">
      <c r="A47" t="inlineStr" s="18">
        <is>
          <t xml:space="preserve">Opening paid repositories · Upshift — Upside</t>
        </is>
      </c>
      <c r="B47" s="10">
        <f>IF(IF(IF(ISERROR('Model inputs'!B24=1),'Model inputs'!B24=1,IF('Model inputs'!B24="","",'Model inputs'!B24=1))="",FALSE,IF(ISERROR('Model inputs'!B24=1),'Model inputs'!B24=1,IF('Model inputs'!B24="","",'Model inputs'!B24=1))),0,IF('Model inputs'!Z110="","",'Model inputs'!Z110))</f>
        <v>1333.941002881412</v>
      </c>
      <c r="D47" s="10">
        <f>IF(IF(IF(ISERROR('Model inputs'!D24=1),'Model inputs'!D24=1,IF('Model inputs'!D24="","",'Model inputs'!D24=1))="",FALSE,IF(ISERROR('Model inputs'!D24=1),'Model inputs'!D24=1,IF('Model inputs'!D24="","",'Model inputs'!D24=1))),0,IF('Model inputs'!AA110="","",'Model inputs'!AA110))</f>
        <v>0</v>
      </c>
      <c r="E47" s="10">
        <f>IF(IF(IF(ISERROR('Model inputs'!E24=1),'Model inputs'!E24=1,IF('Model inputs'!E24="","",'Model inputs'!E24=1))="",FALSE,IF(ISERROR('Model inputs'!E24=1),'Model inputs'!E24=1,IF('Model inputs'!E24="","",'Model inputs'!E24=1))),0,IF('Model inputs'!D110="","",'Model inputs'!D110))</f>
        <v>8.333333333333334</v>
      </c>
      <c r="F47" s="10">
        <f>IF(IF(IF(ISERROR('Model inputs'!F24=1),'Model inputs'!F24=1,IF('Model inputs'!F24="","",'Model inputs'!F24=1))="",FALSE,IF(ISERROR('Model inputs'!F24=1),'Model inputs'!F24=1,IF('Model inputs'!F24="","",'Model inputs'!F24=1))),0,IF('Model inputs'!E110="","",'Model inputs'!E110))</f>
        <v>16.666666666666668</v>
      </c>
      <c r="G47" s="10">
        <f>IF(IF(IF(ISERROR('Model inputs'!G24=1),'Model inputs'!G24=1,IF('Model inputs'!G24="","",'Model inputs'!G24=1))="",FALSE,IF(ISERROR('Model inputs'!G24=1),'Model inputs'!G24=1,IF('Model inputs'!G24="","",'Model inputs'!G24=1))),0,IF('Model inputs'!F110="","",'Model inputs'!F110))</f>
        <v>25</v>
      </c>
      <c r="H47" s="10">
        <f>IF(IF(IF(ISERROR('Model inputs'!H24=1),'Model inputs'!H24=1,IF('Model inputs'!H24="","",'Model inputs'!H24=1))="",FALSE,IF(ISERROR('Model inputs'!H24=1),'Model inputs'!H24=1,IF('Model inputs'!H24="","",'Model inputs'!H24=1))),0,IF('Model inputs'!G110="","",'Model inputs'!G110))</f>
        <v>30.5</v>
      </c>
      <c r="I47" s="10">
        <f>IF(IF(IF(ISERROR('Model inputs'!I24=1),'Model inputs'!I24=1,IF('Model inputs'!I24="","",'Model inputs'!I24=1))="",FALSE,IF(ISERROR('Model inputs'!I24=1),'Model inputs'!I24=1,IF('Model inputs'!I24="","",'Model inputs'!I24=1))),0,IF('Model inputs'!H110="","",'Model inputs'!H110))</f>
        <v>37.21</v>
      </c>
      <c r="J47" s="10">
        <f>IF(IF(IF(ISERROR('Model inputs'!J24=1),'Model inputs'!J24=1,IF('Model inputs'!J24="","",'Model inputs'!J24=1))="",FALSE,IF(ISERROR('Model inputs'!J24=1),'Model inputs'!J24=1,IF('Model inputs'!J24="","",'Model inputs'!J24=1))),0,IF('Model inputs'!I110="","",'Model inputs'!I110))</f>
        <v>45.3962</v>
      </c>
      <c r="K47" s="10">
        <f>IF(IF(IF(ISERROR('Model inputs'!K24=1),'Model inputs'!K24=1,IF('Model inputs'!K24="","",'Model inputs'!K24=1))="",FALSE,IF(ISERROR('Model inputs'!K24=1),'Model inputs'!K24=1,IF('Model inputs'!K24="","",'Model inputs'!K24=1))),0,IF('Model inputs'!J110="","",'Model inputs'!J110))</f>
        <v>55.383364</v>
      </c>
      <c r="L47" s="10">
        <f>IF(IF(IF(ISERROR('Model inputs'!L24=1),'Model inputs'!L24=1,IF('Model inputs'!L24="","",'Model inputs'!L24=1))="",FALSE,IF(ISERROR('Model inputs'!L24=1),'Model inputs'!L24=1,IF('Model inputs'!L24="","",'Model inputs'!L24=1))),0,IF('Model inputs'!K110="","",'Model inputs'!K110))</f>
        <v>67.56770408000001</v>
      </c>
      <c r="M47" s="10">
        <f>IF(IF(IF(ISERROR('Model inputs'!M24=1),'Model inputs'!M24=1,IF('Model inputs'!M24="","",'Model inputs'!M24=1))="",FALSE,IF(ISERROR('Model inputs'!M24=1),'Model inputs'!M24=1,IF('Model inputs'!M24="","",'Model inputs'!M24=1))),0,IF('Model inputs'!L110="","",'Model inputs'!L110))</f>
        <v>82.43259897760001</v>
      </c>
      <c r="N47" s="10">
        <f>IF(IF(IF(ISERROR('Model inputs'!N24=1),'Model inputs'!N24=1,IF('Model inputs'!N24="","",'Model inputs'!N24=1))="",FALSE,IF(ISERROR('Model inputs'!N24=1),'Model inputs'!N24=1,IF('Model inputs'!N24="","",'Model inputs'!N24=1))),0,IF('Model inputs'!M110="","",'Model inputs'!M110))</f>
        <v>100.56777075267202</v>
      </c>
      <c r="O47" s="10">
        <f>IF(IF(IF(ISERROR('Model inputs'!O24=1),'Model inputs'!O24=1,IF('Model inputs'!O24="","",'Model inputs'!O24=1))="",FALSE,IF(ISERROR('Model inputs'!O24=1),'Model inputs'!O24=1,IF('Model inputs'!O24="","",'Model inputs'!O24=1))),0,IF('Model inputs'!N110="","",'Model inputs'!N110))</f>
        <v>122.69268031825986</v>
      </c>
      <c r="P47" s="10">
        <f>IF(IF(IF(ISERROR('Model inputs'!P24=1),'Model inputs'!P24=1,IF('Model inputs'!P24="","",'Model inputs'!P24=1))="",FALSE,IF(ISERROR('Model inputs'!P24=1),'Model inputs'!P24=1,IF('Model inputs'!P24="","",'Model inputs'!P24=1))),0,IF('Model inputs'!O110="","",'Model inputs'!O110))</f>
        <v>149.68506998827704</v>
      </c>
      <c r="Q47" s="10">
        <f>IF(IF(IF(ISERROR('Model inputs'!Q24=1),'Model inputs'!Q24=1,IF('Model inputs'!Q24="","",'Model inputs'!Q24=1))="",FALSE,IF(ISERROR('Model inputs'!Q24=1),'Model inputs'!Q24=1,IF('Model inputs'!Q24="","",'Model inputs'!Q24=1))),0,IF('Model inputs'!P110="","",'Model inputs'!P110))</f>
        <v>182.615785385698</v>
      </c>
      <c r="R47" s="10">
        <f>IF(IF(IF(ISERROR('Model inputs'!R24=1),'Model inputs'!R24=1,IF('Model inputs'!R24="","",'Model inputs'!R24=1))="",FALSE,IF(ISERROR('Model inputs'!R24=1),'Model inputs'!R24=1,IF('Model inputs'!R24="","",'Model inputs'!R24=1))),0,IF('Model inputs'!Q110="","",'Model inputs'!Q110))</f>
        <v>222.79125817055154</v>
      </c>
      <c r="S47" s="10">
        <f>IF(IF(IF(ISERROR('Model inputs'!S24=1),'Model inputs'!S24=1,IF('Model inputs'!S24="","",'Model inputs'!S24=1))="",FALSE,IF(ISERROR('Model inputs'!S24=1),'Model inputs'!S24=1,IF('Model inputs'!S24="","",'Model inputs'!S24=1))),0,IF('Model inputs'!R110="","",'Model inputs'!R110))</f>
        <v>271.8053349680729</v>
      </c>
      <c r="T47" s="10">
        <f>IF(IF(IF(ISERROR('Model inputs'!T24=1),'Model inputs'!T24=1,IF('Model inputs'!T24="","",'Model inputs'!T24=1))="",FALSE,IF(ISERROR('Model inputs'!T24=1),'Model inputs'!T24=1,IF('Model inputs'!T24="","",'Model inputs'!T24=1))),0,IF('Model inputs'!S110="","",'Model inputs'!S110))</f>
        <v>331.60250866104894</v>
      </c>
      <c r="U47" s="10">
        <f>IF(IF(IF(ISERROR('Model inputs'!U24=1),'Model inputs'!U24=1,IF('Model inputs'!U24="","",'Model inputs'!U24=1))="",FALSE,IF(ISERROR('Model inputs'!U24=1),'Model inputs'!U24=1,IF('Model inputs'!U24="","",'Model inputs'!U24=1))),0,IF('Model inputs'!T110="","",'Model inputs'!T110))</f>
        <v>404.5550605664797</v>
      </c>
      <c r="V47" s="10">
        <f>IF(IF(IF(ISERROR('Model inputs'!V24=1),'Model inputs'!V24=1,IF('Model inputs'!V24="","",'Model inputs'!V24=1))="",FALSE,IF(ISERROR('Model inputs'!V24=1),'Model inputs'!V24=1,IF('Model inputs'!V24="","",'Model inputs'!V24=1))),0,IF('Model inputs'!U110="","",'Model inputs'!U110))</f>
        <v>493.55717389110526</v>
      </c>
      <c r="W47" s="10">
        <f>IF(IF(IF(ISERROR('Model inputs'!W24=1),'Model inputs'!W24=1,IF('Model inputs'!W24="","",'Model inputs'!W24=1))="",FALSE,IF(ISERROR('Model inputs'!W24=1),'Model inputs'!W24=1,IF('Model inputs'!W24="","",'Model inputs'!W24=1))),0,IF('Model inputs'!V110="","",'Model inputs'!V110))</f>
        <v>602.1397521471483</v>
      </c>
      <c r="X47" s="10">
        <f>IF(IF(IF(ISERROR('Model inputs'!X24=1),'Model inputs'!X24=1,IF('Model inputs'!X24="","",'Model inputs'!X24=1))="",FALSE,IF(ISERROR('Model inputs'!X24=1),'Model inputs'!X24=1,IF('Model inputs'!X24="","",'Model inputs'!X24=1))),0,IF('Model inputs'!W110="","",'Model inputs'!W110))</f>
        <v>734.6104976195209</v>
      </c>
      <c r="Y47" s="10">
        <f>IF(IF(IF(ISERROR('Model inputs'!Y24=1),'Model inputs'!Y24=1,IF('Model inputs'!Y24="","",'Model inputs'!Y24=1))="",FALSE,IF(ISERROR('Model inputs'!Y24=1),'Model inputs'!Y24=1,IF('Model inputs'!Y24="","",'Model inputs'!Y24=1))),0,IF('Model inputs'!X110="","",'Model inputs'!X110))</f>
        <v>896.2248070958155</v>
      </c>
      <c r="Z47" s="10">
        <f>IF(IF(IF(ISERROR('Model inputs'!Z24=1),'Model inputs'!Z24=1,IF('Model inputs'!Z24="","",'Model inputs'!Z24=1))="",FALSE,IF(ISERROR('Model inputs'!Z24=1),'Model inputs'!Z24=1,IF('Model inputs'!Z24="","",'Model inputs'!Z24=1))),0,IF('Model inputs'!Y110="","",'Model inputs'!Y110))</f>
        <v>1093.394264656895</v>
      </c>
      <c r="AA47" s="10">
        <v>0</v>
      </c>
    </row>
    <row r="48">
      <c r="A48" t="inlineStr" s="18">
        <is>
          <t xml:space="preserve">Operating break-even marker</t>
        </is>
      </c>
      <c r="B48" s="8">
        <f>IF(IF(IF(ISERROR('Model inputs'!B108&gt;=0),'Model inputs'!B108&gt;=0,IF('Model inputs'!B108="","",'Model inputs'!B108&gt;=0))="",FALSE,IF(ISERROR('Model inputs'!B108&gt;=0),'Model inputs'!B108&gt;=0,IF('Model inputs'!B108="","",'Model inputs'!B108&gt;=0))),DATE(2028,9,1),"")</f>
        <v>46997</v>
      </c>
      <c r="D48" t="str" s="10">
        <f>IF(IF(IF(ISERROR('Model inputs'!D108&gt;=0),'Model inputs'!D108&gt;=0,IF('Model inputs'!D108="","",'Model inputs'!D108&gt;=0))="",FALSE,IF(ISERROR('Model inputs'!D108&gt;=0),'Model inputs'!D108&gt;=0,IF('Model inputs'!D108="","",'Model inputs'!D108&gt;=0))),DATE(2026,10,1),"")</f>
        <v/>
      </c>
      <c r="E48" s="8">
        <f>IF(IF(IF(ISERROR('Model inputs'!E108&gt;=0),'Model inputs'!E108&gt;=0,IF('Model inputs'!E108="","",'Model inputs'!E108&gt;=0))="",FALSE,IF(ISERROR('Model inputs'!E108&gt;=0),'Model inputs'!E108&gt;=0,IF('Model inputs'!E108="","",'Model inputs'!E108&gt;=0))),DATE(2026,11,1),"")</f>
        <v>46327</v>
      </c>
      <c r="F48" s="8">
        <f>IF(IF(IF(ISERROR('Model inputs'!F108&gt;=0),'Model inputs'!F108&gt;=0,IF('Model inputs'!F108="","",'Model inputs'!F108&gt;=0))="",FALSE,IF(ISERROR('Model inputs'!F108&gt;=0),'Model inputs'!F108&gt;=0,IF('Model inputs'!F108="","",'Model inputs'!F108&gt;=0))),DATE(2026,12,1),"")</f>
        <v>46357</v>
      </c>
      <c r="G48" s="8">
        <f>IF(IF(IF(ISERROR('Model inputs'!G108&gt;=0),'Model inputs'!G108&gt;=0,IF('Model inputs'!G108="","",'Model inputs'!G108&gt;=0))="",FALSE,IF(ISERROR('Model inputs'!G108&gt;=0),'Model inputs'!G108&gt;=0,IF('Model inputs'!G108="","",'Model inputs'!G108&gt;=0))),DATE(2027,1,1),"")</f>
        <v>46388</v>
      </c>
      <c r="H48" s="8">
        <f>IF(IF(IF(ISERROR('Model inputs'!H108&gt;=0),'Model inputs'!H108&gt;=0,IF('Model inputs'!H108="","",'Model inputs'!H108&gt;=0))="",FALSE,IF(ISERROR('Model inputs'!H108&gt;=0),'Model inputs'!H108&gt;=0,IF('Model inputs'!H108="","",'Model inputs'!H108&gt;=0))),DATE(2027,2,1),"")</f>
        <v>46419</v>
      </c>
      <c r="I48" s="8">
        <f>IF(IF(IF(ISERROR('Model inputs'!I108&gt;=0),'Model inputs'!I108&gt;=0,IF('Model inputs'!I108="","",'Model inputs'!I108&gt;=0))="",FALSE,IF(ISERROR('Model inputs'!I108&gt;=0),'Model inputs'!I108&gt;=0,IF('Model inputs'!I108="","",'Model inputs'!I108&gt;=0))),DATE(2027,3,1),"")</f>
        <v>46447</v>
      </c>
      <c r="J48" s="8">
        <f>IF(IF(IF(ISERROR('Model inputs'!J108&gt;=0),'Model inputs'!J108&gt;=0,IF('Model inputs'!J108="","",'Model inputs'!J108&gt;=0))="",FALSE,IF(ISERROR('Model inputs'!J108&gt;=0),'Model inputs'!J108&gt;=0,IF('Model inputs'!J108="","",'Model inputs'!J108&gt;=0))),DATE(2027,4,1),"")</f>
        <v>46478</v>
      </c>
      <c r="K48" s="8">
        <f>IF(IF(IF(ISERROR('Model inputs'!K108&gt;=0),'Model inputs'!K108&gt;=0,IF('Model inputs'!K108="","",'Model inputs'!K108&gt;=0))="",FALSE,IF(ISERROR('Model inputs'!K108&gt;=0),'Model inputs'!K108&gt;=0,IF('Model inputs'!K108="","",'Model inputs'!K108&gt;=0))),DATE(2027,5,1),"")</f>
        <v>46508</v>
      </c>
      <c r="L48" s="8">
        <f>IF(IF(IF(ISERROR('Model inputs'!L108&gt;=0),'Model inputs'!L108&gt;=0,IF('Model inputs'!L108="","",'Model inputs'!L108&gt;=0))="",FALSE,IF(ISERROR('Model inputs'!L108&gt;=0),'Model inputs'!L108&gt;=0,IF('Model inputs'!L108="","",'Model inputs'!L108&gt;=0))),DATE(2027,6,1),"")</f>
        <v>46539</v>
      </c>
      <c r="M48" s="8">
        <f>IF(IF(IF(ISERROR('Model inputs'!M108&gt;=0),'Model inputs'!M108&gt;=0,IF('Model inputs'!M108="","",'Model inputs'!M108&gt;=0))="",FALSE,IF(ISERROR('Model inputs'!M108&gt;=0),'Model inputs'!M108&gt;=0,IF('Model inputs'!M108="","",'Model inputs'!M108&gt;=0))),DATE(2027,7,1),"")</f>
        <v>46569</v>
      </c>
      <c r="N48" s="8">
        <f>IF(IF(IF(ISERROR('Model inputs'!N108&gt;=0),'Model inputs'!N108&gt;=0,IF('Model inputs'!N108="","",'Model inputs'!N108&gt;=0))="",FALSE,IF(ISERROR('Model inputs'!N108&gt;=0),'Model inputs'!N108&gt;=0,IF('Model inputs'!N108="","",'Model inputs'!N108&gt;=0))),DATE(2027,8,1),"")</f>
        <v>46600</v>
      </c>
      <c r="O48" s="8">
        <f>IF(IF(IF(ISERROR('Model inputs'!O108&gt;=0),'Model inputs'!O108&gt;=0,IF('Model inputs'!O108="","",'Model inputs'!O108&gt;=0))="",FALSE,IF(ISERROR('Model inputs'!O108&gt;=0),'Model inputs'!O108&gt;=0,IF('Model inputs'!O108="","",'Model inputs'!O108&gt;=0))),DATE(2027,9,1),"")</f>
        <v>46631</v>
      </c>
      <c r="P48" s="8">
        <f>IF(IF(IF(ISERROR('Model inputs'!P108&gt;=0),'Model inputs'!P108&gt;=0,IF('Model inputs'!P108="","",'Model inputs'!P108&gt;=0))="",FALSE,IF(ISERROR('Model inputs'!P108&gt;=0),'Model inputs'!P108&gt;=0,IF('Model inputs'!P108="","",'Model inputs'!P108&gt;=0))),DATE(2027,10,1),"")</f>
        <v>46661</v>
      </c>
      <c r="Q48" s="8">
        <f>IF(IF(IF(ISERROR('Model inputs'!Q108&gt;=0),'Model inputs'!Q108&gt;=0,IF('Model inputs'!Q108="","",'Model inputs'!Q108&gt;=0))="",FALSE,IF(ISERROR('Model inputs'!Q108&gt;=0),'Model inputs'!Q108&gt;=0,IF('Model inputs'!Q108="","",'Model inputs'!Q108&gt;=0))),DATE(2027,11,1),"")</f>
        <v>46692</v>
      </c>
      <c r="R48" s="8">
        <f>IF(IF(IF(ISERROR('Model inputs'!R108&gt;=0),'Model inputs'!R108&gt;=0,IF('Model inputs'!R108="","",'Model inputs'!R108&gt;=0))="",FALSE,IF(ISERROR('Model inputs'!R108&gt;=0),'Model inputs'!R108&gt;=0,IF('Model inputs'!R108="","",'Model inputs'!R108&gt;=0))),DATE(2027,12,1),"")</f>
        <v>46722</v>
      </c>
      <c r="S48" s="8">
        <f>IF(IF(IF(ISERROR('Model inputs'!S108&gt;=0),'Model inputs'!S108&gt;=0,IF('Model inputs'!S108="","",'Model inputs'!S108&gt;=0))="",FALSE,IF(ISERROR('Model inputs'!S108&gt;=0),'Model inputs'!S108&gt;=0,IF('Model inputs'!S108="","",'Model inputs'!S108&gt;=0))),DATE(2028,1,1),"")</f>
        <v>46753</v>
      </c>
      <c r="T48" s="8">
        <f>IF(IF(IF(ISERROR('Model inputs'!T108&gt;=0),'Model inputs'!T108&gt;=0,IF('Model inputs'!T108="","",'Model inputs'!T108&gt;=0))="",FALSE,IF(ISERROR('Model inputs'!T108&gt;=0),'Model inputs'!T108&gt;=0,IF('Model inputs'!T108="","",'Model inputs'!T108&gt;=0))),DATE(2028,2,1),"")</f>
        <v>46784</v>
      </c>
      <c r="U48" s="8">
        <f>IF(IF(IF(ISERROR('Model inputs'!U108&gt;=0),'Model inputs'!U108&gt;=0,IF('Model inputs'!U108="","",'Model inputs'!U108&gt;=0))="",FALSE,IF(ISERROR('Model inputs'!U108&gt;=0),'Model inputs'!U108&gt;=0,IF('Model inputs'!U108="","",'Model inputs'!U108&gt;=0))),DATE(2028,3,1),"")</f>
        <v>46813</v>
      </c>
      <c r="V48" s="8">
        <f>IF(IF(IF(ISERROR('Model inputs'!V108&gt;=0),'Model inputs'!V108&gt;=0,IF('Model inputs'!V108="","",'Model inputs'!V108&gt;=0))="",FALSE,IF(ISERROR('Model inputs'!V108&gt;=0),'Model inputs'!V108&gt;=0,IF('Model inputs'!V108="","",'Model inputs'!V108&gt;=0))),DATE(2028,4,1),"")</f>
        <v>46844</v>
      </c>
      <c r="W48" s="8">
        <f>IF(IF(IF(ISERROR('Model inputs'!W108&gt;=0),'Model inputs'!W108&gt;=0,IF('Model inputs'!W108="","",'Model inputs'!W108&gt;=0))="",FALSE,IF(ISERROR('Model inputs'!W108&gt;=0),'Model inputs'!W108&gt;=0,IF('Model inputs'!W108="","",'Model inputs'!W108&gt;=0))),DATE(2028,5,1),"")</f>
        <v>46874</v>
      </c>
      <c r="X48" s="8">
        <f>IF(IF(IF(ISERROR('Model inputs'!X108&gt;=0),'Model inputs'!X108&gt;=0,IF('Model inputs'!X108="","",'Model inputs'!X108&gt;=0))="",FALSE,IF(ISERROR('Model inputs'!X108&gt;=0),'Model inputs'!X108&gt;=0,IF('Model inputs'!X108="","",'Model inputs'!X108&gt;=0))),DATE(2028,6,1),"")</f>
        <v>46905</v>
      </c>
      <c r="Y48" s="8">
        <f>IF(IF(IF(ISERROR('Model inputs'!Y108&gt;=0),'Model inputs'!Y108&gt;=0,IF('Model inputs'!Y108="","",'Model inputs'!Y108&gt;=0))="",FALSE,IF(ISERROR('Model inputs'!Y108&gt;=0),'Model inputs'!Y108&gt;=0,IF('Model inputs'!Y108="","",'Model inputs'!Y108&gt;=0))),DATE(2028,7,1),"")</f>
        <v>46935</v>
      </c>
      <c r="Z48" s="8">
        <f>IF(IF(IF(ISERROR('Model inputs'!Z108&gt;=0),'Model inputs'!Z108&gt;=0,IF('Model inputs'!Z108="","",'Model inputs'!Z108&gt;=0))="",FALSE,IF(ISERROR('Model inputs'!Z108&gt;=0),'Model inputs'!Z108&gt;=0,IF('Model inputs'!Z108="","",'Model inputs'!Z108&gt;=0))),DATE(2028,8,1),"")</f>
        <v>46966</v>
      </c>
    </row>
    <row r="49">
      <c r="A49" t="inlineStr" s="18">
        <is>
          <t xml:space="preserve">Overage revenue · Base and upside comparison · Main Scenario</t>
        </is>
      </c>
      <c r="B49" s="9">
        <f>'Model inputs'!B51*'Model inputs'!AB86*'Model inputs'!AB84</f>
        <v>0</v>
      </c>
      <c r="D49" s="9">
        <f>'Model inputs'!D51*'Model inputs'!AB86*'Model inputs'!AB84</f>
        <v>0</v>
      </c>
      <c r="E49" s="9">
        <f>'Model inputs'!E51*'Model inputs'!AB86*'Model inputs'!AB84</f>
        <v>0</v>
      </c>
      <c r="F49" s="9">
        <f>'Model inputs'!F51*'Model inputs'!AB86*'Model inputs'!AB84</f>
        <v>0</v>
      </c>
      <c r="G49" s="9">
        <f>'Model inputs'!G51*'Model inputs'!AB86*'Model inputs'!AB84</f>
        <v>0</v>
      </c>
      <c r="H49" s="9">
        <f>'Model inputs'!H51*'Model inputs'!AB86*'Model inputs'!AB84</f>
        <v>0</v>
      </c>
      <c r="I49" s="9">
        <f>'Model inputs'!I51*'Model inputs'!AB86*'Model inputs'!AB84</f>
        <v>0</v>
      </c>
      <c r="J49" s="9">
        <f>'Model inputs'!J51*'Model inputs'!AB86*'Model inputs'!AB84</f>
        <v>0</v>
      </c>
      <c r="K49" s="9">
        <f>'Model inputs'!K51*'Model inputs'!AB86*'Model inputs'!AB84</f>
        <v>0</v>
      </c>
      <c r="L49" s="9">
        <f>'Model inputs'!L51*'Model inputs'!AB86*'Model inputs'!AB84</f>
        <v>0</v>
      </c>
      <c r="M49" s="9">
        <f>'Model inputs'!M51*'Model inputs'!AB86*'Model inputs'!AB84</f>
        <v>0</v>
      </c>
      <c r="N49" s="9">
        <f>'Model inputs'!N51*'Model inputs'!AB86*'Model inputs'!AB84</f>
        <v>0</v>
      </c>
      <c r="O49" s="9">
        <f>'Model inputs'!O51*'Model inputs'!AB86*'Model inputs'!AB84</f>
        <v>0</v>
      </c>
      <c r="P49" s="9">
        <f>'Model inputs'!P51*'Model inputs'!AB86*'Model inputs'!AB84</f>
        <v>0</v>
      </c>
      <c r="Q49" s="9">
        <f>'Model inputs'!Q51*'Model inputs'!AB86*'Model inputs'!AB84</f>
        <v>0</v>
      </c>
      <c r="R49" s="9">
        <f>'Model inputs'!R51*'Model inputs'!AB86*'Model inputs'!AB84</f>
        <v>0</v>
      </c>
      <c r="S49" s="9">
        <f>'Model inputs'!S51*'Model inputs'!AB86*'Model inputs'!AB84</f>
        <v>0</v>
      </c>
      <c r="T49" s="9">
        <f>'Model inputs'!T51*'Model inputs'!AB86*'Model inputs'!AB84</f>
        <v>0</v>
      </c>
      <c r="U49" s="9">
        <f>'Model inputs'!U51*'Model inputs'!AB86*'Model inputs'!AB84</f>
        <v>0</v>
      </c>
      <c r="V49" s="9">
        <f>'Model inputs'!V51*'Model inputs'!AB86*'Model inputs'!AB84</f>
        <v>0</v>
      </c>
      <c r="W49" s="9">
        <f>'Model inputs'!W51*'Model inputs'!AB86*'Model inputs'!AB84</f>
        <v>0</v>
      </c>
      <c r="X49" s="9">
        <f>'Model inputs'!X51*'Model inputs'!AB86*'Model inputs'!AB84</f>
        <v>0</v>
      </c>
      <c r="Y49" s="9">
        <f>'Model inputs'!Y51*'Model inputs'!AB86*'Model inputs'!AB84</f>
        <v>0</v>
      </c>
      <c r="Z49" s="9">
        <f>'Model inputs'!Z51*'Model inputs'!AB86*'Model inputs'!AB84</f>
        <v>0</v>
      </c>
      <c r="AA49" s="9">
        <v>0</v>
      </c>
    </row>
    <row r="50">
      <c r="A50" t="inlineStr" s="18">
        <is>
          <t xml:space="preserve">Overage revenue · Upshift — Upside</t>
        </is>
      </c>
      <c r="B50" s="9">
        <f>'Model inputs'!B110*'Model inputs'!AB87*'Model inputs'!AB85</f>
        <v>0</v>
      </c>
      <c r="D50" s="9">
        <f>'Model inputs'!D110*'Model inputs'!AB87*'Model inputs'!AB85</f>
        <v>0</v>
      </c>
      <c r="E50" s="9">
        <f>'Model inputs'!E110*'Model inputs'!AB87*'Model inputs'!AB85</f>
        <v>0</v>
      </c>
      <c r="F50" s="9">
        <f>'Model inputs'!F110*'Model inputs'!AB87*'Model inputs'!AB85</f>
        <v>0</v>
      </c>
      <c r="G50" s="9">
        <f>'Model inputs'!G110*'Model inputs'!AB87*'Model inputs'!AB85</f>
        <v>0</v>
      </c>
      <c r="H50" s="9">
        <f>'Model inputs'!H110*'Model inputs'!AB87*'Model inputs'!AB85</f>
        <v>0</v>
      </c>
      <c r="I50" s="9">
        <f>'Model inputs'!I110*'Model inputs'!AB87*'Model inputs'!AB85</f>
        <v>0</v>
      </c>
      <c r="J50" s="9">
        <f>'Model inputs'!J110*'Model inputs'!AB87*'Model inputs'!AB85</f>
        <v>0</v>
      </c>
      <c r="K50" s="9">
        <f>'Model inputs'!K110*'Model inputs'!AB87*'Model inputs'!AB85</f>
        <v>0</v>
      </c>
      <c r="L50" s="9">
        <f>'Model inputs'!L110*'Model inputs'!AB87*'Model inputs'!AB85</f>
        <v>0</v>
      </c>
      <c r="M50" s="9">
        <f>'Model inputs'!M110*'Model inputs'!AB87*'Model inputs'!AB85</f>
        <v>0</v>
      </c>
      <c r="N50" s="9">
        <f>'Model inputs'!N110*'Model inputs'!AB87*'Model inputs'!AB85</f>
        <v>0</v>
      </c>
      <c r="O50" s="9">
        <f>'Model inputs'!O110*'Model inputs'!AB87*'Model inputs'!AB85</f>
        <v>0</v>
      </c>
      <c r="P50" s="9">
        <f>'Model inputs'!P110*'Model inputs'!AB87*'Model inputs'!AB85</f>
        <v>0</v>
      </c>
      <c r="Q50" s="9">
        <f>'Model inputs'!Q110*'Model inputs'!AB87*'Model inputs'!AB85</f>
        <v>0</v>
      </c>
      <c r="R50" s="9">
        <f>'Model inputs'!R110*'Model inputs'!AB87*'Model inputs'!AB85</f>
        <v>0</v>
      </c>
      <c r="S50" s="9">
        <f>'Model inputs'!S110*'Model inputs'!AB87*'Model inputs'!AB85</f>
        <v>0</v>
      </c>
      <c r="T50" s="9">
        <f>'Model inputs'!T110*'Model inputs'!AB87*'Model inputs'!AB85</f>
        <v>0</v>
      </c>
      <c r="U50" s="9">
        <f>'Model inputs'!U110*'Model inputs'!AB87*'Model inputs'!AB85</f>
        <v>0</v>
      </c>
      <c r="V50" s="9">
        <f>'Model inputs'!V110*'Model inputs'!AB87*'Model inputs'!AB85</f>
        <v>0</v>
      </c>
      <c r="W50" s="9">
        <f>'Model inputs'!W110*'Model inputs'!AB87*'Model inputs'!AB85</f>
        <v>0</v>
      </c>
      <c r="X50" s="9">
        <f>'Model inputs'!X110*'Model inputs'!AB87*'Model inputs'!AB85</f>
        <v>0</v>
      </c>
      <c r="Y50" s="9">
        <f>'Model inputs'!Y110*'Model inputs'!AB87*'Model inputs'!AB85</f>
        <v>0</v>
      </c>
      <c r="Z50" s="9">
        <f>'Model inputs'!Z110*'Model inputs'!AB87*'Model inputs'!AB85</f>
        <v>0</v>
      </c>
      <c r="AA50" s="9">
        <v>0</v>
      </c>
    </row>
    <row r="51">
      <c r="A51" t="inlineStr" s="18">
        <is>
          <t xml:space="preserve">Paid repositories</t>
        </is>
      </c>
      <c r="B51" s="10">
        <f>'Model inputs'!B46+'Model inputs'!B44-'Model inputs'!B14</f>
        <v>108.03848264467925</v>
      </c>
      <c r="D51" s="10">
        <f>'Model inputs'!D46+'Model inputs'!D44-'Model inputs'!D14</f>
        <v>3.3333333333333335</v>
      </c>
      <c r="E51" s="10">
        <f>'Model inputs'!E46+'Model inputs'!E44-'Model inputs'!E14</f>
        <v>6.666666666666668</v>
      </c>
      <c r="F51" s="10">
        <f>'Model inputs'!F46+'Model inputs'!F44-'Model inputs'!F14</f>
        <v>10.000000000000002</v>
      </c>
      <c r="G51" s="10">
        <f>'Model inputs'!G46+'Model inputs'!G44-'Model inputs'!G14</f>
        <v>11.200000000000001</v>
      </c>
      <c r="H51" s="10">
        <f>'Model inputs'!H46+'Model inputs'!H44-'Model inputs'!H14</f>
        <v>12.544</v>
      </c>
      <c r="I51" s="10">
        <f>'Model inputs'!I46+'Model inputs'!I44-'Model inputs'!I14</f>
        <v>14.049280000000001</v>
      </c>
      <c r="J51" s="10">
        <f>'Model inputs'!J46+'Model inputs'!J44-'Model inputs'!J14</f>
        <v>15.7351936</v>
      </c>
      <c r="K51" s="10">
        <f>'Model inputs'!K46+'Model inputs'!K44-'Model inputs'!K14</f>
        <v>17.623416832</v>
      </c>
      <c r="L51" s="10">
        <f>'Model inputs'!L46+'Model inputs'!L44-'Model inputs'!L14</f>
        <v>19.738226851839997</v>
      </c>
      <c r="M51" s="10">
        <f>'Model inputs'!M46+'Model inputs'!M44-'Model inputs'!M14</f>
        <v>22.106814074060797</v>
      </c>
      <c r="N51" s="10">
        <f>'Model inputs'!N46+'Model inputs'!N44-'Model inputs'!N14</f>
        <v>24.759631762948093</v>
      </c>
      <c r="O51" s="10">
        <f>'Model inputs'!O46+'Model inputs'!O44-'Model inputs'!O14</f>
        <v>27.730787574501864</v>
      </c>
      <c r="P51" s="10">
        <f>'Model inputs'!P46+'Model inputs'!P44-'Model inputs'!P14</f>
        <v>31.058482083442087</v>
      </c>
      <c r="Q51" s="10">
        <f>'Model inputs'!Q46+'Model inputs'!Q44-'Model inputs'!Q14</f>
        <v>34.785499933455135</v>
      </c>
      <c r="R51" s="10">
        <f>'Model inputs'!R46+'Model inputs'!R44-'Model inputs'!R14</f>
        <v>38.959759925469754</v>
      </c>
      <c r="S51" s="10">
        <f>'Model inputs'!S46+'Model inputs'!S44-'Model inputs'!S14</f>
        <v>43.634931116526126</v>
      </c>
      <c r="T51" s="10">
        <f>'Model inputs'!T46+'Model inputs'!T44-'Model inputs'!T14</f>
        <v>48.87112285050926</v>
      </c>
      <c r="U51" s="10">
        <f>'Model inputs'!U46+'Model inputs'!U44-'Model inputs'!U14</f>
        <v>54.73565759257037</v>
      </c>
      <c r="V51" s="10">
        <f>'Model inputs'!V46+'Model inputs'!V44-'Model inputs'!V14</f>
        <v>61.30393650367881</v>
      </c>
      <c r="W51" s="10">
        <f>'Model inputs'!W46+'Model inputs'!W44-'Model inputs'!W14</f>
        <v>68.66040888412027</v>
      </c>
      <c r="X51" s="10">
        <f>'Model inputs'!X46+'Model inputs'!X44-'Model inputs'!X14</f>
        <v>76.8996579502147</v>
      </c>
      <c r="Y51" s="10">
        <f>'Model inputs'!Y46+'Model inputs'!Y44-'Model inputs'!Y14</f>
        <v>86.12761690424047</v>
      </c>
      <c r="Z51" s="10">
        <f>'Model inputs'!Z46+'Model inputs'!Z44-'Model inputs'!Z14</f>
        <v>96.46293093274933</v>
      </c>
      <c r="AA51" s="10">
        <v>0</v>
      </c>
    </row>
    <row r="52">
      <c r="A52" t="inlineStr" s="18">
        <is>
          <t xml:space="preserve">Payment processing costs · Main Scenario</t>
        </is>
      </c>
      <c r="B52" s="9">
        <f>'Model inputs'!B61*'Model inputs'!C54</f>
        <v>0</v>
      </c>
      <c r="D52" s="9">
        <f>'Model inputs'!D61*'Model inputs'!C54</f>
        <v>0</v>
      </c>
      <c r="E52" s="9">
        <f>'Model inputs'!E61*'Model inputs'!C54</f>
        <v>0</v>
      </c>
      <c r="F52" s="9">
        <f>'Model inputs'!F61*'Model inputs'!C54</f>
        <v>0</v>
      </c>
      <c r="G52" s="9">
        <f>'Model inputs'!G61*'Model inputs'!C54</f>
        <v>0</v>
      </c>
      <c r="H52" s="9">
        <f>'Model inputs'!H61*'Model inputs'!C54</f>
        <v>0</v>
      </c>
      <c r="I52" s="9">
        <f>'Model inputs'!I61*'Model inputs'!C54</f>
        <v>0</v>
      </c>
      <c r="J52" s="9">
        <f>'Model inputs'!J61*'Model inputs'!C54</f>
        <v>0</v>
      </c>
      <c r="K52" s="9">
        <f>'Model inputs'!K61*'Model inputs'!C54</f>
        <v>0</v>
      </c>
      <c r="L52" s="9">
        <f>'Model inputs'!L61*'Model inputs'!C54</f>
        <v>0</v>
      </c>
      <c r="M52" s="9">
        <f>'Model inputs'!M61*'Model inputs'!C54</f>
        <v>0</v>
      </c>
      <c r="N52" s="9">
        <f>'Model inputs'!N61*'Model inputs'!C54</f>
        <v>0</v>
      </c>
      <c r="O52" s="9">
        <f>'Model inputs'!O61*'Model inputs'!C54</f>
        <v>0</v>
      </c>
      <c r="P52" s="9">
        <f>'Model inputs'!P61*'Model inputs'!C54</f>
        <v>0</v>
      </c>
      <c r="Q52" s="9">
        <f>'Model inputs'!Q61*'Model inputs'!C54</f>
        <v>0</v>
      </c>
      <c r="R52" s="9">
        <f>'Model inputs'!R61*'Model inputs'!C54</f>
        <v>0</v>
      </c>
      <c r="S52" s="9">
        <f>'Model inputs'!S61*'Model inputs'!C54</f>
        <v>0</v>
      </c>
      <c r="T52" s="9">
        <f>'Model inputs'!T61*'Model inputs'!C54</f>
        <v>0</v>
      </c>
      <c r="U52" s="9">
        <f>'Model inputs'!U61*'Model inputs'!C54</f>
        <v>0</v>
      </c>
      <c r="V52" s="9">
        <f>'Model inputs'!V61*'Model inputs'!C54</f>
        <v>0</v>
      </c>
      <c r="W52" s="9">
        <f>'Model inputs'!W61*'Model inputs'!C54</f>
        <v>0</v>
      </c>
      <c r="X52" s="9">
        <f>'Model inputs'!X61*'Model inputs'!C54</f>
        <v>0</v>
      </c>
      <c r="Y52" s="9">
        <f>'Model inputs'!Y61*'Model inputs'!C54</f>
        <v>0</v>
      </c>
      <c r="Z52" s="9">
        <f>'Model inputs'!Z61*'Model inputs'!C54</f>
        <v>0</v>
      </c>
      <c r="AA52" s="9">
        <v>0</v>
      </c>
    </row>
    <row r="53">
      <c r="A53" t="inlineStr" s="18">
        <is>
          <t xml:space="preserve">Payment processing costs · Upshift — Upside</t>
        </is>
      </c>
      <c r="B53" s="9">
        <f>'Model inputs'!B118*'Model inputs'!AB112</f>
        <v>0</v>
      </c>
      <c r="D53" s="9">
        <f>'Model inputs'!D118*'Model inputs'!AB112</f>
        <v>0</v>
      </c>
      <c r="E53" s="9">
        <f>'Model inputs'!E118*'Model inputs'!AB112</f>
        <v>0</v>
      </c>
      <c r="F53" s="9">
        <f>'Model inputs'!F118*'Model inputs'!AB112</f>
        <v>0</v>
      </c>
      <c r="G53" s="9">
        <f>'Model inputs'!G118*'Model inputs'!AB112</f>
        <v>0</v>
      </c>
      <c r="H53" s="9">
        <f>'Model inputs'!H118*'Model inputs'!AB112</f>
        <v>0</v>
      </c>
      <c r="I53" s="9">
        <f>'Model inputs'!I118*'Model inputs'!AB112</f>
        <v>0</v>
      </c>
      <c r="J53" s="9">
        <f>'Model inputs'!J118*'Model inputs'!AB112</f>
        <v>0</v>
      </c>
      <c r="K53" s="9">
        <f>'Model inputs'!K118*'Model inputs'!AB112</f>
        <v>0</v>
      </c>
      <c r="L53" s="9">
        <f>'Model inputs'!L118*'Model inputs'!AB112</f>
        <v>0</v>
      </c>
      <c r="M53" s="9">
        <f>'Model inputs'!M118*'Model inputs'!AB112</f>
        <v>0</v>
      </c>
      <c r="N53" s="9">
        <f>'Model inputs'!N118*'Model inputs'!AB112</f>
        <v>0</v>
      </c>
      <c r="O53" s="9">
        <f>'Model inputs'!O118*'Model inputs'!AB112</f>
        <v>0</v>
      </c>
      <c r="P53" s="9">
        <f>'Model inputs'!P118*'Model inputs'!AB112</f>
        <v>0</v>
      </c>
      <c r="Q53" s="9">
        <f>'Model inputs'!Q118*'Model inputs'!AB112</f>
        <v>0</v>
      </c>
      <c r="R53" s="9">
        <f>'Model inputs'!R118*'Model inputs'!AB112</f>
        <v>0</v>
      </c>
      <c r="S53" s="9">
        <f>'Model inputs'!S118*'Model inputs'!AB112</f>
        <v>0</v>
      </c>
      <c r="T53" s="9">
        <f>'Model inputs'!T118*'Model inputs'!AB112</f>
        <v>0</v>
      </c>
      <c r="U53" s="9">
        <f>'Model inputs'!U118*'Model inputs'!AB112</f>
        <v>0</v>
      </c>
      <c r="V53" s="9">
        <f>'Model inputs'!V118*'Model inputs'!AB112</f>
        <v>0</v>
      </c>
      <c r="W53" s="9">
        <f>'Model inputs'!W118*'Model inputs'!AB112</f>
        <v>0</v>
      </c>
      <c r="X53" s="9">
        <f>'Model inputs'!X118*'Model inputs'!AB112</f>
        <v>0</v>
      </c>
      <c r="Y53" s="9">
        <f>'Model inputs'!Y118*'Model inputs'!AB112</f>
        <v>0</v>
      </c>
      <c r="Z53" s="9">
        <f>'Model inputs'!Z118*'Model inputs'!AB112</f>
        <v>0</v>
      </c>
      <c r="AA53" s="9">
        <v>0</v>
      </c>
    </row>
    <row r="54">
      <c r="A54" t="inlineStr" s="18">
        <is>
          <t xml:space="preserve">Payment processing rate</t>
        </is>
      </c>
      <c r="C54" s="11">
        <f>0</f>
        <v>0</v>
      </c>
    </row>
    <row r="55">
      <c r="A55" t="inlineStr" s="18">
        <is>
          <t xml:space="preserve">Payroll overhead rate</t>
        </is>
      </c>
      <c r="C55" s="11">
        <f>0</f>
        <v>0</v>
      </c>
    </row>
    <row r="56">
      <c r="A56" t="inlineStr" s="18">
        <is>
          <t xml:space="preserve">Per-repo cost buffer</t>
        </is>
      </c>
      <c r="C56" s="9">
        <f>0.02</f>
        <v>0.02</v>
      </c>
    </row>
    <row r="57">
      <c r="A57" t="inlineStr" s="18">
        <is>
          <t xml:space="preserve">Price per repository</t>
        </is>
      </c>
      <c r="C57" s="14">
        <v>0</v>
      </c>
    </row>
    <row r="58" outlineLevel="1">
      <c r="A58" t="inlineStr" s="19">
        <is>
          <t xml:space="preserve">Price per repository &gt; Business</t>
        </is>
      </c>
      <c r="C58" s="9">
        <f>'Model inputs'!C77/'Model inputs'!C76</f>
        <v>26.6</v>
      </c>
    </row>
    <row r="59" outlineLevel="1">
      <c r="A59" t="inlineStr" s="19">
        <is>
          <t xml:space="preserve">Price per repository &gt; Team</t>
        </is>
      </c>
      <c r="C59" s="9">
        <f>49</f>
        <v>49</v>
      </c>
    </row>
    <row r="60">
      <c r="A60" t="inlineStr" s="18">
        <is>
          <t xml:space="preserve">Price stress break-even marker</t>
        </is>
      </c>
      <c r="B60" s="8">
        <f>IF(IF(IF(ISERROR('Model inputs'!B117&gt;=0),'Model inputs'!B117&gt;=0,IF('Model inputs'!B117="","",'Model inputs'!B117&gt;=0))="",FALSE,IF(ISERROR('Model inputs'!B117&gt;=0),'Model inputs'!B117&gt;=0,IF('Model inputs'!B117="","",'Model inputs'!B117&gt;=0))),DATE(2028,9,1),"")</f>
        <v>46997</v>
      </c>
      <c r="D60" t="str" s="10">
        <f>IF(IF(IF(ISERROR('Model inputs'!D117&gt;=0),'Model inputs'!D117&gt;=0,IF('Model inputs'!D117="","",'Model inputs'!D117&gt;=0))="",FALSE,IF(ISERROR('Model inputs'!D117&gt;=0),'Model inputs'!D117&gt;=0,IF('Model inputs'!D117="","",'Model inputs'!D117&gt;=0))),DATE(2026,10,1),"")</f>
        <v/>
      </c>
      <c r="E60" t="str" s="10">
        <f>IF(IF(IF(ISERROR('Model inputs'!E117&gt;=0),'Model inputs'!E117&gt;=0,IF('Model inputs'!E117="","",'Model inputs'!E117&gt;=0))="",FALSE,IF(ISERROR('Model inputs'!E117&gt;=0),'Model inputs'!E117&gt;=0,IF('Model inputs'!E117="","",'Model inputs'!E117&gt;=0))),DATE(2026,11,1),"")</f>
        <v/>
      </c>
      <c r="F60" t="str" s="10">
        <f>IF(IF(IF(ISERROR('Model inputs'!F117&gt;=0),'Model inputs'!F117&gt;=0,IF('Model inputs'!F117="","",'Model inputs'!F117&gt;=0))="",FALSE,IF(ISERROR('Model inputs'!F117&gt;=0),'Model inputs'!F117&gt;=0,IF('Model inputs'!F117="","",'Model inputs'!F117&gt;=0))),DATE(2026,12,1),"")</f>
        <v/>
      </c>
      <c r="G60" s="8">
        <f>IF(IF(IF(ISERROR('Model inputs'!G117&gt;=0),'Model inputs'!G117&gt;=0,IF('Model inputs'!G117="","",'Model inputs'!G117&gt;=0))="",FALSE,IF(ISERROR('Model inputs'!G117&gt;=0),'Model inputs'!G117&gt;=0,IF('Model inputs'!G117="","",'Model inputs'!G117&gt;=0))),DATE(2027,1,1),"")</f>
        <v>46388</v>
      </c>
      <c r="H60" s="8">
        <f>IF(IF(IF(ISERROR('Model inputs'!H117&gt;=0),'Model inputs'!H117&gt;=0,IF('Model inputs'!H117="","",'Model inputs'!H117&gt;=0))="",FALSE,IF(ISERROR('Model inputs'!H117&gt;=0),'Model inputs'!H117&gt;=0,IF('Model inputs'!H117="","",'Model inputs'!H117&gt;=0))),DATE(2027,2,1),"")</f>
        <v>46419</v>
      </c>
      <c r="I60" s="8">
        <f>IF(IF(IF(ISERROR('Model inputs'!I117&gt;=0),'Model inputs'!I117&gt;=0,IF('Model inputs'!I117="","",'Model inputs'!I117&gt;=0))="",FALSE,IF(ISERROR('Model inputs'!I117&gt;=0),'Model inputs'!I117&gt;=0,IF('Model inputs'!I117="","",'Model inputs'!I117&gt;=0))),DATE(2027,3,1),"")</f>
        <v>46447</v>
      </c>
      <c r="J60" s="8">
        <f>IF(IF(IF(ISERROR('Model inputs'!J117&gt;=0),'Model inputs'!J117&gt;=0,IF('Model inputs'!J117="","",'Model inputs'!J117&gt;=0))="",FALSE,IF(ISERROR('Model inputs'!J117&gt;=0),'Model inputs'!J117&gt;=0,IF('Model inputs'!J117="","",'Model inputs'!J117&gt;=0))),DATE(2027,4,1),"")</f>
        <v>46478</v>
      </c>
      <c r="K60" s="8">
        <f>IF(IF(IF(ISERROR('Model inputs'!K117&gt;=0),'Model inputs'!K117&gt;=0,IF('Model inputs'!K117="","",'Model inputs'!K117&gt;=0))="",FALSE,IF(ISERROR('Model inputs'!K117&gt;=0),'Model inputs'!K117&gt;=0,IF('Model inputs'!K117="","",'Model inputs'!K117&gt;=0))),DATE(2027,5,1),"")</f>
        <v>46508</v>
      </c>
      <c r="L60" s="8">
        <f>IF(IF(IF(ISERROR('Model inputs'!L117&gt;=0),'Model inputs'!L117&gt;=0,IF('Model inputs'!L117="","",'Model inputs'!L117&gt;=0))="",FALSE,IF(ISERROR('Model inputs'!L117&gt;=0),'Model inputs'!L117&gt;=0,IF('Model inputs'!L117="","",'Model inputs'!L117&gt;=0))),DATE(2027,6,1),"")</f>
        <v>46539</v>
      </c>
      <c r="M60" s="8">
        <f>IF(IF(IF(ISERROR('Model inputs'!M117&gt;=0),'Model inputs'!M117&gt;=0,IF('Model inputs'!M117="","",'Model inputs'!M117&gt;=0))="",FALSE,IF(ISERROR('Model inputs'!M117&gt;=0),'Model inputs'!M117&gt;=0,IF('Model inputs'!M117="","",'Model inputs'!M117&gt;=0))),DATE(2027,7,1),"")</f>
        <v>46569</v>
      </c>
      <c r="N60" s="8">
        <f>IF(IF(IF(ISERROR('Model inputs'!N117&gt;=0),'Model inputs'!N117&gt;=0,IF('Model inputs'!N117="","",'Model inputs'!N117&gt;=0))="",FALSE,IF(ISERROR('Model inputs'!N117&gt;=0),'Model inputs'!N117&gt;=0,IF('Model inputs'!N117="","",'Model inputs'!N117&gt;=0))),DATE(2027,8,1),"")</f>
        <v>46600</v>
      </c>
      <c r="O60" s="8">
        <f>IF(IF(IF(ISERROR('Model inputs'!O117&gt;=0),'Model inputs'!O117&gt;=0,IF('Model inputs'!O117="","",'Model inputs'!O117&gt;=0))="",FALSE,IF(ISERROR('Model inputs'!O117&gt;=0),'Model inputs'!O117&gt;=0,IF('Model inputs'!O117="","",'Model inputs'!O117&gt;=0))),DATE(2027,9,1),"")</f>
        <v>46631</v>
      </c>
      <c r="P60" s="8">
        <f>IF(IF(IF(ISERROR('Model inputs'!P117&gt;=0),'Model inputs'!P117&gt;=0,IF('Model inputs'!P117="","",'Model inputs'!P117&gt;=0))="",FALSE,IF(ISERROR('Model inputs'!P117&gt;=0),'Model inputs'!P117&gt;=0,IF('Model inputs'!P117="","",'Model inputs'!P117&gt;=0))),DATE(2027,10,1),"")</f>
        <v>46661</v>
      </c>
      <c r="Q60" s="8">
        <f>IF(IF(IF(ISERROR('Model inputs'!Q117&gt;=0),'Model inputs'!Q117&gt;=0,IF('Model inputs'!Q117="","",'Model inputs'!Q117&gt;=0))="",FALSE,IF(ISERROR('Model inputs'!Q117&gt;=0),'Model inputs'!Q117&gt;=0,IF('Model inputs'!Q117="","",'Model inputs'!Q117&gt;=0))),DATE(2027,11,1),"")</f>
        <v>46692</v>
      </c>
      <c r="R60" s="8">
        <f>IF(IF(IF(ISERROR('Model inputs'!R117&gt;=0),'Model inputs'!R117&gt;=0,IF('Model inputs'!R117="","",'Model inputs'!R117&gt;=0))="",FALSE,IF(ISERROR('Model inputs'!R117&gt;=0),'Model inputs'!R117&gt;=0,IF('Model inputs'!R117="","",'Model inputs'!R117&gt;=0))),DATE(2027,12,1),"")</f>
        <v>46722</v>
      </c>
      <c r="S60" s="8">
        <f>IF(IF(IF(ISERROR('Model inputs'!S117&gt;=0),'Model inputs'!S117&gt;=0,IF('Model inputs'!S117="","",'Model inputs'!S117&gt;=0))="",FALSE,IF(ISERROR('Model inputs'!S117&gt;=0),'Model inputs'!S117&gt;=0,IF('Model inputs'!S117="","",'Model inputs'!S117&gt;=0))),DATE(2028,1,1),"")</f>
        <v>46753</v>
      </c>
      <c r="T60" s="8">
        <f>IF(IF(IF(ISERROR('Model inputs'!T117&gt;=0),'Model inputs'!T117&gt;=0,IF('Model inputs'!T117="","",'Model inputs'!T117&gt;=0))="",FALSE,IF(ISERROR('Model inputs'!T117&gt;=0),'Model inputs'!T117&gt;=0,IF('Model inputs'!T117="","",'Model inputs'!T117&gt;=0))),DATE(2028,2,1),"")</f>
        <v>46784</v>
      </c>
      <c r="U60" s="8">
        <f>IF(IF(IF(ISERROR('Model inputs'!U117&gt;=0),'Model inputs'!U117&gt;=0,IF('Model inputs'!U117="","",'Model inputs'!U117&gt;=0))="",FALSE,IF(ISERROR('Model inputs'!U117&gt;=0),'Model inputs'!U117&gt;=0,IF('Model inputs'!U117="","",'Model inputs'!U117&gt;=0))),DATE(2028,3,1),"")</f>
        <v>46813</v>
      </c>
      <c r="V60" s="8">
        <f>IF(IF(IF(ISERROR('Model inputs'!V117&gt;=0),'Model inputs'!V117&gt;=0,IF('Model inputs'!V117="","",'Model inputs'!V117&gt;=0))="",FALSE,IF(ISERROR('Model inputs'!V117&gt;=0),'Model inputs'!V117&gt;=0,IF('Model inputs'!V117="","",'Model inputs'!V117&gt;=0))),DATE(2028,4,1),"")</f>
        <v>46844</v>
      </c>
      <c r="W60" s="8">
        <f>IF(IF(IF(ISERROR('Model inputs'!W117&gt;=0),'Model inputs'!W117&gt;=0,IF('Model inputs'!W117="","",'Model inputs'!W117&gt;=0))="",FALSE,IF(ISERROR('Model inputs'!W117&gt;=0),'Model inputs'!W117&gt;=0,IF('Model inputs'!W117="","",'Model inputs'!W117&gt;=0))),DATE(2028,5,1),"")</f>
        <v>46874</v>
      </c>
      <c r="X60" s="8">
        <f>IF(IF(IF(ISERROR('Model inputs'!X117&gt;=0),'Model inputs'!X117&gt;=0,IF('Model inputs'!X117="","",'Model inputs'!X117&gt;=0))="",FALSE,IF(ISERROR('Model inputs'!X117&gt;=0),'Model inputs'!X117&gt;=0,IF('Model inputs'!X117="","",'Model inputs'!X117&gt;=0))),DATE(2028,6,1),"")</f>
        <v>46905</v>
      </c>
      <c r="Y60" s="8">
        <f>IF(IF(IF(ISERROR('Model inputs'!Y117&gt;=0),'Model inputs'!Y117&gt;=0,IF('Model inputs'!Y117="","",'Model inputs'!Y117&gt;=0))="",FALSE,IF(ISERROR('Model inputs'!Y117&gt;=0),'Model inputs'!Y117&gt;=0,IF('Model inputs'!Y117="","",'Model inputs'!Y117&gt;=0))),DATE(2028,7,1),"")</f>
        <v>46935</v>
      </c>
      <c r="Z60" s="8">
        <f>IF(IF(IF(ISERROR('Model inputs'!Z117&gt;=0),'Model inputs'!Z117&gt;=0,IF('Model inputs'!Z117="","",'Model inputs'!Z117&gt;=0))="",FALSE,IF(ISERROR('Model inputs'!Z117&gt;=0),'Model inputs'!Z117&gt;=0,IF('Model inputs'!Z117="","",'Model inputs'!Z117&gt;=0))),DATE(2028,8,1),"")</f>
        <v>46966</v>
      </c>
    </row>
    <row r="61">
      <c r="A61" t="inlineStr" s="18">
        <is>
          <t xml:space="preserve">Revenue · Decision summary</t>
        </is>
      </c>
      <c r="B61" s="9">
        <f>'Model inputs'!B66+'Model inputs'!B49</f>
        <v>5293.885649589283</v>
      </c>
      <c r="D61" s="9">
        <f>'Model inputs'!D66+'Model inputs'!D49</f>
        <v>163.33333333333334</v>
      </c>
      <c r="E61" s="9">
        <f>'Model inputs'!E66+'Model inputs'!E49</f>
        <v>326.66666666666674</v>
      </c>
      <c r="F61" s="9">
        <f>'Model inputs'!F66+'Model inputs'!F49</f>
        <v>490.0000000000001</v>
      </c>
      <c r="G61" s="9">
        <f>'Model inputs'!G66+'Model inputs'!G49</f>
        <v>548.8000000000001</v>
      </c>
      <c r="H61" s="9">
        <f>'Model inputs'!H66+'Model inputs'!H49</f>
        <v>614.6560000000001</v>
      </c>
      <c r="I61" s="9">
        <f>'Model inputs'!I66+'Model inputs'!I49</f>
        <v>688.4147200000001</v>
      </c>
      <c r="J61" s="9">
        <f>'Model inputs'!J66+'Model inputs'!J49</f>
        <v>771.0244864</v>
      </c>
      <c r="K61" s="9">
        <f>'Model inputs'!K66+'Model inputs'!K49</f>
        <v>863.547424768</v>
      </c>
      <c r="L61" s="9">
        <f>'Model inputs'!L66+'Model inputs'!L49</f>
        <v>967.1731157401598</v>
      </c>
      <c r="M61" s="9">
        <f>'Model inputs'!M66+'Model inputs'!M49</f>
        <v>1083.2338896289791</v>
      </c>
      <c r="N61" s="9">
        <f>'Model inputs'!N66+'Model inputs'!N49</f>
        <v>1213.2219563844565</v>
      </c>
      <c r="O61" s="9">
        <f>'Model inputs'!O66+'Model inputs'!O49</f>
        <v>1358.8085911505914</v>
      </c>
      <c r="P61" s="9">
        <f>'Model inputs'!P66+'Model inputs'!P49</f>
        <v>1521.8656220886623</v>
      </c>
      <c r="Q61" s="9">
        <f>'Model inputs'!Q66+'Model inputs'!Q49</f>
        <v>1704.4894967393016</v>
      </c>
      <c r="R61" s="9">
        <f>'Model inputs'!R66+'Model inputs'!R49</f>
        <v>1909.028236348018</v>
      </c>
      <c r="S61" s="9">
        <f>'Model inputs'!S66+'Model inputs'!S49</f>
        <v>2138.1116247097802</v>
      </c>
      <c r="T61" s="9">
        <f>'Model inputs'!T66+'Model inputs'!T49</f>
        <v>2394.6850196749538</v>
      </c>
      <c r="U61" s="9">
        <f>'Model inputs'!U66+'Model inputs'!U49</f>
        <v>2682.047222035948</v>
      </c>
      <c r="V61" s="9">
        <f>'Model inputs'!V66+'Model inputs'!V49</f>
        <v>3003.892888680262</v>
      </c>
      <c r="W61" s="9">
        <f>'Model inputs'!W66+'Model inputs'!W49</f>
        <v>3364.3600353218935</v>
      </c>
      <c r="X61" s="9">
        <f>'Model inputs'!X66+'Model inputs'!X49</f>
        <v>3768.0832395605203</v>
      </c>
      <c r="Y61" s="9">
        <f>'Model inputs'!Y66+'Model inputs'!Y49</f>
        <v>4220.253228307783</v>
      </c>
      <c r="Z61" s="9">
        <f>'Model inputs'!Z66+'Model inputs'!Z49</f>
        <v>4726.683615704717</v>
      </c>
      <c r="AA61" s="9">
        <v>0</v>
      </c>
    </row>
    <row r="62">
      <c r="A62" t="inlineStr" s="18">
        <is>
          <t xml:space="preserve">Security compute cost</t>
        </is>
      </c>
      <c r="C62" s="9">
        <f>0.02</f>
        <v>0.02</v>
      </c>
    </row>
    <row r="63">
      <c r="A63" t="inlineStr" s="18">
        <is>
          <t xml:space="preserve">Security fixes per repo</t>
        </is>
      </c>
      <c r="C63" s="10">
        <f>4</f>
        <v>4</v>
      </c>
    </row>
    <row r="64">
      <c r="A64" t="inlineStr" s="18">
        <is>
          <t xml:space="preserve">Starting cash · Base and upside comparison · Main Scenario</t>
        </is>
      </c>
      <c r="AB64" s="9">
        <f>0</f>
        <v>0</v>
      </c>
    </row>
    <row r="65">
      <c r="A65" t="inlineStr" s="18">
        <is>
          <t xml:space="preserve">Starting cash · Upshift — Upside</t>
        </is>
      </c>
      <c r="AB65" s="9">
        <f>'Model inputs'!AB64</f>
        <v>0</v>
      </c>
    </row>
    <row r="66">
      <c r="A66" t="inlineStr" s="18">
        <is>
          <t xml:space="preserve">Subscription revenue · Base and upside comparison · Main Scenario</t>
        </is>
      </c>
      <c r="B66" s="9">
        <f>SUM('Model inputs'!B124,'Model inputs'!B125)</f>
        <v>5293.885649589283</v>
      </c>
      <c r="D66" s="9">
        <f>SUM('Model inputs'!D124,'Model inputs'!D125)</f>
        <v>163.33333333333334</v>
      </c>
      <c r="E66" s="9">
        <f>SUM('Model inputs'!E124,'Model inputs'!E125)</f>
        <v>326.66666666666674</v>
      </c>
      <c r="F66" s="9">
        <f>SUM('Model inputs'!F124,'Model inputs'!F125)</f>
        <v>490.0000000000001</v>
      </c>
      <c r="G66" s="9">
        <f>SUM('Model inputs'!G124,'Model inputs'!G125)</f>
        <v>548.8000000000001</v>
      </c>
      <c r="H66" s="9">
        <f>SUM('Model inputs'!H124,'Model inputs'!H125)</f>
        <v>614.6560000000001</v>
      </c>
      <c r="I66" s="9">
        <f>SUM('Model inputs'!I124,'Model inputs'!I125)</f>
        <v>688.4147200000001</v>
      </c>
      <c r="J66" s="9">
        <f>SUM('Model inputs'!J124,'Model inputs'!J125)</f>
        <v>771.0244864</v>
      </c>
      <c r="K66" s="9">
        <f>SUM('Model inputs'!K124,'Model inputs'!K125)</f>
        <v>863.547424768</v>
      </c>
      <c r="L66" s="9">
        <f>SUM('Model inputs'!L124,'Model inputs'!L125)</f>
        <v>967.1731157401598</v>
      </c>
      <c r="M66" s="9">
        <f>SUM('Model inputs'!M124,'Model inputs'!M125)</f>
        <v>1083.2338896289791</v>
      </c>
      <c r="N66" s="9">
        <f>SUM('Model inputs'!N124,'Model inputs'!N125)</f>
        <v>1213.2219563844565</v>
      </c>
      <c r="O66" s="9">
        <f>SUM('Model inputs'!O124,'Model inputs'!O125)</f>
        <v>1358.8085911505914</v>
      </c>
      <c r="P66" s="9">
        <f>SUM('Model inputs'!P124,'Model inputs'!P125)</f>
        <v>1521.8656220886623</v>
      </c>
      <c r="Q66" s="9">
        <f>SUM('Model inputs'!Q124,'Model inputs'!Q125)</f>
        <v>1704.4894967393016</v>
      </c>
      <c r="R66" s="9">
        <f>SUM('Model inputs'!R124,'Model inputs'!R125)</f>
        <v>1909.028236348018</v>
      </c>
      <c r="S66" s="9">
        <f>SUM('Model inputs'!S124,'Model inputs'!S125)</f>
        <v>2138.1116247097802</v>
      </c>
      <c r="T66" s="9">
        <f>SUM('Model inputs'!T124,'Model inputs'!T125)</f>
        <v>2394.6850196749538</v>
      </c>
      <c r="U66" s="9">
        <f>SUM('Model inputs'!U124,'Model inputs'!U125)</f>
        <v>2682.047222035948</v>
      </c>
      <c r="V66" s="9">
        <f>SUM('Model inputs'!V124,'Model inputs'!V125)</f>
        <v>3003.892888680262</v>
      </c>
      <c r="W66" s="9">
        <f>SUM('Model inputs'!W124,'Model inputs'!W125)</f>
        <v>3364.3600353218935</v>
      </c>
      <c r="X66" s="9">
        <f>SUM('Model inputs'!X124,'Model inputs'!X125)</f>
        <v>3768.0832395605203</v>
      </c>
      <c r="Y66" s="9">
        <f>SUM('Model inputs'!Y124,'Model inputs'!Y125)</f>
        <v>4220.253228307783</v>
      </c>
      <c r="Z66" s="9">
        <f>SUM('Model inputs'!Z124,'Model inputs'!Z125)</f>
        <v>4726.683615704717</v>
      </c>
      <c r="AA66" s="9">
        <f>SUM('Model inputs'!AA124,'Model inputs'!AA125)</f>
        <v>0</v>
      </c>
    </row>
    <row r="67">
      <c r="A67" t="inlineStr" s="18">
        <is>
          <t xml:space="preserve">Subscription revenue · Upshift — Upside</t>
        </is>
      </c>
      <c r="B67" s="9">
        <f>SUM('Model inputs'!B127,'Model inputs'!B128)</f>
        <v>79742.99315225081</v>
      </c>
      <c r="D67" s="9">
        <f>SUM('Model inputs'!D127,'Model inputs'!D128)</f>
        <v>408.33333333333337</v>
      </c>
      <c r="E67" s="9">
        <f>SUM('Model inputs'!E127,'Model inputs'!E128)</f>
        <v>816.6666666666667</v>
      </c>
      <c r="F67" s="9">
        <f>SUM('Model inputs'!F127,'Model inputs'!F128)</f>
        <v>1225</v>
      </c>
      <c r="G67" s="9">
        <f>SUM('Model inputs'!G127,'Model inputs'!G128)</f>
        <v>1494.5</v>
      </c>
      <c r="H67" s="9">
        <f>SUM('Model inputs'!H127,'Model inputs'!H128)</f>
        <v>1823.29</v>
      </c>
      <c r="I67" s="9">
        <f>SUM('Model inputs'!I127,'Model inputs'!I128)</f>
        <v>2224.4138</v>
      </c>
      <c r="J67" s="9">
        <f>SUM('Model inputs'!J127,'Model inputs'!J128)</f>
        <v>2713.784836</v>
      </c>
      <c r="K67" s="9">
        <f>SUM('Model inputs'!K127,'Model inputs'!K128)</f>
        <v>3310.8174999200005</v>
      </c>
      <c r="L67" s="9">
        <f>SUM('Model inputs'!L127,'Model inputs'!L128)</f>
        <v>4039.1973499024</v>
      </c>
      <c r="M67" s="9">
        <f>SUM('Model inputs'!M127,'Model inputs'!M128)</f>
        <v>4927.820766880929</v>
      </c>
      <c r="N67" s="9">
        <f>SUM('Model inputs'!N127,'Model inputs'!N128)</f>
        <v>6011.941335594734</v>
      </c>
      <c r="O67" s="9">
        <f>SUM('Model inputs'!O127,'Model inputs'!O128)</f>
        <v>7334.568429425574</v>
      </c>
      <c r="P67" s="9">
        <f>SUM('Model inputs'!P127,'Model inputs'!P128)</f>
        <v>8948.173483899202</v>
      </c>
      <c r="Q67" s="9">
        <f>SUM('Model inputs'!Q127,'Model inputs'!Q128)</f>
        <v>10916.771650357026</v>
      </c>
      <c r="R67" s="9">
        <f>SUM('Model inputs'!R127,'Model inputs'!R128)</f>
        <v>13318.46141343557</v>
      </c>
      <c r="S67" s="9">
        <f>SUM('Model inputs'!S127,'Model inputs'!S128)</f>
        <v>16248.522924391398</v>
      </c>
      <c r="T67" s="9">
        <f>SUM('Model inputs'!T127,'Model inputs'!T128)</f>
        <v>19823.197967757507</v>
      </c>
      <c r="U67" s="9">
        <f>SUM('Model inputs'!U127,'Model inputs'!U128)</f>
        <v>24184.301520664158</v>
      </c>
      <c r="V67" s="9">
        <f>SUM('Model inputs'!V127,'Model inputs'!V128)</f>
        <v>29504.847855210268</v>
      </c>
      <c r="W67" s="9">
        <f>SUM('Model inputs'!W127,'Model inputs'!W128)</f>
        <v>35995.914383356525</v>
      </c>
      <c r="X67" s="9">
        <f>SUM('Model inputs'!X127,'Model inputs'!X128)</f>
        <v>43915.01554769496</v>
      </c>
      <c r="Y67" s="9">
        <f>SUM('Model inputs'!Y127,'Model inputs'!Y128)</f>
        <v>53576.31896818786</v>
      </c>
      <c r="Z67" s="9">
        <f>SUM('Model inputs'!Z127,'Model inputs'!Z128)</f>
        <v>65363.10914118919</v>
      </c>
      <c r="AA67" s="9">
        <f>SUM('Model inputs'!AA127,'Model inputs'!AA128)</f>
        <v>0</v>
      </c>
    </row>
    <row r="68">
      <c r="A68" t="inlineStr" s="18">
        <is>
          <t xml:space="preserve">Unfunded cash · Decision summary · Main Scenario</t>
        </is>
      </c>
      <c r="B68" s="9">
        <f>IF(IF(IF(IF(ISERROR('Model inputs'!B23=1),'Model inputs'!B23=1,IF('Model inputs'!B23="","",'Model inputs'!B23=1))="",FALSE,IF(ISERROR('Model inputs'!B23=1),'Model inputs'!B23=1,IF('Model inputs'!B23="","",'Model inputs'!B23=1))),IF('Model inputs'!AB64="","",'Model inputs'!AB64),IF('Model inputs'!Z68="","",'Model inputs'!Z68))="",0,IF(IF(IF(ISERROR('Model inputs'!B23=1),'Model inputs'!B23=1,IF('Model inputs'!B23="","",'Model inputs'!B23=1))="",FALSE,IF(ISERROR('Model inputs'!B23=1),'Model inputs'!B23=1,IF('Model inputs'!B23="","",'Model inputs'!B23=1))),IF('Model inputs'!AB64="","",'Model inputs'!AB64),IF('Model inputs'!Z68="","",'Model inputs'!Z68)))+'Model inputs'!B42</f>
        <v>36559.209219195895</v>
      </c>
      <c r="D68" s="9">
        <f>IF(IF(IF(IF(ISERROR('Model inputs'!D23=1),'Model inputs'!D23=1,IF('Model inputs'!D23="","",'Model inputs'!D23=1))="",FALSE,IF(ISERROR('Model inputs'!D23=1),'Model inputs'!D23=1,IF('Model inputs'!D23="","",'Model inputs'!D23=1))),IF('Model inputs'!AB64="","",'Model inputs'!AB64),IF('Model inputs'!AA68="","",'Model inputs'!AA68))="",0,IF(IF(IF(ISERROR('Model inputs'!D23=1),'Model inputs'!D23=1,IF('Model inputs'!D23="","",'Model inputs'!D23=1))="",FALSE,IF(ISERROR('Model inputs'!D23=1),'Model inputs'!D23=1,IF('Model inputs'!D23="","",'Model inputs'!D23=1))),IF('Model inputs'!AB64="","",'Model inputs'!AB64),IF('Model inputs'!AA68="","",'Model inputs'!AA68)))+'Model inputs'!D42</f>
        <v>-144</v>
      </c>
      <c r="E68" s="9">
        <f>IF(IF(IF(IF(ISERROR('Model inputs'!E23=1),'Model inputs'!E23=1,IF('Model inputs'!E23="","",'Model inputs'!E23=1))="",FALSE,IF(ISERROR('Model inputs'!E23=1),'Model inputs'!E23=1,IF('Model inputs'!E23="","",'Model inputs'!E23=1))),IF('Model inputs'!AB64="","",'Model inputs'!AB64),IF('Model inputs'!D68="","",'Model inputs'!D68))="",0,IF(IF(IF(ISERROR('Model inputs'!E23=1),'Model inputs'!E23=1,IF('Model inputs'!E23="","",'Model inputs'!E23=1))="",FALSE,IF(ISERROR('Model inputs'!E23=1),'Model inputs'!E23=1,IF('Model inputs'!E23="","",'Model inputs'!E23=1))),IF('Model inputs'!AB64="","",'Model inputs'!AB64),IF('Model inputs'!D68="","",'Model inputs'!D68)))+'Model inputs'!E42</f>
        <v>-131.99999999999994</v>
      </c>
      <c r="F68" s="9">
        <f>IF(IF(IF(IF(ISERROR('Model inputs'!F23=1),'Model inputs'!F23=1,IF('Model inputs'!F23="","",'Model inputs'!F23=1))="",FALSE,IF(ISERROR('Model inputs'!F23=1),'Model inputs'!F23=1,IF('Model inputs'!F23="","",'Model inputs'!F23=1))),IF('Model inputs'!AB64="","",'Model inputs'!AB64),IF('Model inputs'!E68="","",'Model inputs'!E68))="",0,IF(IF(IF(ISERROR('Model inputs'!F23=1),'Model inputs'!F23=1,IF('Model inputs'!F23="","",'Model inputs'!F23=1))="",FALSE,IF(ISERROR('Model inputs'!F23=1),'Model inputs'!F23=1,IF('Model inputs'!F23="","",'Model inputs'!F23=1))),IF('Model inputs'!AB64="","",'Model inputs'!AB64),IF('Model inputs'!E68="","",'Model inputs'!E68)))+'Model inputs'!F42</f>
        <v>36.00000000000017</v>
      </c>
      <c r="G68" s="9">
        <f>IF(IF(IF(IF(ISERROR('Model inputs'!G23=1),'Model inputs'!G23=1,IF('Model inputs'!G23="","",'Model inputs'!G23=1))="",FALSE,IF(ISERROR('Model inputs'!G23=1),'Model inputs'!G23=1,IF('Model inputs'!G23="","",'Model inputs'!G23=1))),IF('Model inputs'!AB64="","",'Model inputs'!AB64),IF('Model inputs'!F68="","",'Model inputs'!F68))="",0,IF(IF(IF(ISERROR('Model inputs'!G23=1),'Model inputs'!G23=1,IF('Model inputs'!G23="","",'Model inputs'!G23=1))="",FALSE,IF(ISERROR('Model inputs'!G23=1),'Model inputs'!G23=1,IF('Model inputs'!G23="","",'Model inputs'!G23=1))),IF('Model inputs'!AB64="","",'Model inputs'!AB64),IF('Model inputs'!F68="","",'Model inputs'!F68)))+'Model inputs'!G42</f>
        <v>260.16000000000025</v>
      </c>
      <c r="H68" s="9">
        <f>IF(IF(IF(IF(ISERROR('Model inputs'!H23=1),'Model inputs'!H23=1,IF('Model inputs'!H23="","",'Model inputs'!H23=1))="",FALSE,IF(ISERROR('Model inputs'!H23=1),'Model inputs'!H23=1,IF('Model inputs'!H23="","",'Model inputs'!H23=1))),IF('Model inputs'!AB64="","",'Model inputs'!AB64),IF('Model inputs'!G68="","",'Model inputs'!G68))="",0,IF(IF(IF(ISERROR('Model inputs'!H23=1),'Model inputs'!H23=1,IF('Model inputs'!H23="","",'Model inputs'!H23=1))="",FALSE,IF(ISERROR('Model inputs'!H23=1),'Model inputs'!H23=1,IF('Model inputs'!H23="","",'Model inputs'!H23=1))),IF('Model inputs'!AB64="","",'Model inputs'!AB64),IF('Model inputs'!G68="","",'Model inputs'!G68)))+'Model inputs'!H42</f>
        <v>547.2192000000002</v>
      </c>
      <c r="I68" s="9">
        <f>IF(IF(IF(IF(ISERROR('Model inputs'!I23=1),'Model inputs'!I23=1,IF('Model inputs'!I23="","",'Model inputs'!I23=1))="",FALSE,IF(ISERROR('Model inputs'!I23=1),'Model inputs'!I23=1,IF('Model inputs'!I23="","",'Model inputs'!I23=1))),IF('Model inputs'!AB64="","",'Model inputs'!AB64),IF('Model inputs'!H68="","",'Model inputs'!H68))="",0,IF(IF(IF(ISERROR('Model inputs'!I23=1),'Model inputs'!I23=1,IF('Model inputs'!I23="","",'Model inputs'!I23=1))="",FALSE,IF(ISERROR('Model inputs'!I23=1),'Model inputs'!I23=1,IF('Model inputs'!I23="","",'Model inputs'!I23=1))),IF('Model inputs'!AB64="","",'Model inputs'!AB64),IF('Model inputs'!H68="","",'Model inputs'!H68)))+'Model inputs'!I42</f>
        <v>904.7255040000003</v>
      </c>
      <c r="J68" s="9">
        <f>IF(IF(IF(IF(ISERROR('Model inputs'!J23=1),'Model inputs'!J23=1,IF('Model inputs'!J23="","",'Model inputs'!J23=1))="",FALSE,IF(ISERROR('Model inputs'!J23=1),'Model inputs'!J23=1,IF('Model inputs'!J23="","",'Model inputs'!J23=1))),IF('Model inputs'!AB64="","",'Model inputs'!AB64),IF('Model inputs'!I68="","",'Model inputs'!I68))="",0,IF(IF(IF(ISERROR('Model inputs'!J23=1),'Model inputs'!J23=1,IF('Model inputs'!J23="","",'Model inputs'!J23=1))="",FALSE,IF(ISERROR('Model inputs'!J23=1),'Model inputs'!J23=1,IF('Model inputs'!J23="","",'Model inputs'!J23=1))),IF('Model inputs'!AB64="","",'Model inputs'!AB64),IF('Model inputs'!I68="","",'Model inputs'!I68)))+'Model inputs'!J42</f>
        <v>1341.1325644800004</v>
      </c>
      <c r="K68" s="9">
        <f>IF(IF(IF(IF(ISERROR('Model inputs'!K23=1),'Model inputs'!K23=1,IF('Model inputs'!K23="","",'Model inputs'!K23=1))="",FALSE,IF(ISERROR('Model inputs'!K23=1),'Model inputs'!K23=1,IF('Model inputs'!K23="","",'Model inputs'!K23=1))),IF('Model inputs'!AB64="","",'Model inputs'!AB64),IF('Model inputs'!J68="","",'Model inputs'!J68))="",0,IF(IF(IF(ISERROR('Model inputs'!K23=1),'Model inputs'!K23=1,IF('Model inputs'!K23="","",'Model inputs'!K23=1))="",FALSE,IF(ISERROR('Model inputs'!K23=1),'Model inputs'!K23=1,IF('Model inputs'!K23="","",'Model inputs'!K23=1))),IF('Model inputs'!AB64="","",'Model inputs'!AB64),IF('Model inputs'!J68="","",'Model inputs'!J68)))+'Model inputs'!K42</f>
        <v>1865.9084722176003</v>
      </c>
      <c r="L68" s="9">
        <f>IF(IF(IF(IF(ISERROR('Model inputs'!L23=1),'Model inputs'!L23=1,IF('Model inputs'!L23="","",'Model inputs'!L23=1))="",FALSE,IF(ISERROR('Model inputs'!L23=1),'Model inputs'!L23=1,IF('Model inputs'!L23="","",'Model inputs'!L23=1))),IF('Model inputs'!AB64="","",'Model inputs'!AB64),IF('Model inputs'!K68="","",'Model inputs'!K68))="",0,IF(IF(IF(ISERROR('Model inputs'!L23=1),'Model inputs'!L23=1,IF('Model inputs'!L23="","",'Model inputs'!L23=1))="",FALSE,IF(ISERROR('Model inputs'!L23=1),'Model inputs'!L23=1,IF('Model inputs'!L23="","",'Model inputs'!L23=1))),IF('Model inputs'!AB64="","",'Model inputs'!AB64),IF('Model inputs'!K68="","",'Model inputs'!K68)))+'Model inputs'!L42</f>
        <v>2489.657488883712</v>
      </c>
      <c r="M68" s="9">
        <f>IF(IF(IF(IF(ISERROR('Model inputs'!M23=1),'Model inputs'!M23=1,IF('Model inputs'!M23="","",'Model inputs'!M23=1))="",FALSE,IF(ISERROR('Model inputs'!M23=1),'Model inputs'!M23=1,IF('Model inputs'!M23="","",'Model inputs'!M23=1))),IF('Model inputs'!AB64="","",'Model inputs'!AB64),IF('Model inputs'!L68="","",'Model inputs'!L68))="",0,IF(IF(IF(ISERROR('Model inputs'!M23=1),'Model inputs'!M23=1,IF('Model inputs'!M23="","",'Model inputs'!M23=1))="",FALSE,IF(ISERROR('Model inputs'!M23=1),'Model inputs'!M23=1,IF('Model inputs'!M23="","",'Model inputs'!M23=1))),IF('Model inputs'!AB64="","",'Model inputs'!AB64),IF('Model inputs'!L68="","",'Model inputs'!L68)))+'Model inputs'!M42</f>
        <v>3224.2563875497576</v>
      </c>
      <c r="N68" s="9">
        <f>IF(IF(IF(IF(ISERROR('Model inputs'!N23=1),'Model inputs'!N23=1,IF('Model inputs'!N23="","",'Model inputs'!N23=1))="",FALSE,IF(ISERROR('Model inputs'!N23=1),'Model inputs'!N23=1,IF('Model inputs'!N23="","",'Model inputs'!N23=1))),IF('Model inputs'!AB64="","",'Model inputs'!AB64),IF('Model inputs'!M68="","",'Model inputs'!M68))="",0,IF(IF(IF(ISERROR('Model inputs'!N23=1),'Model inputs'!N23=1,IF('Model inputs'!N23="","",'Model inputs'!N23=1))="",FALSE,IF(ISERROR('Model inputs'!N23=1),'Model inputs'!N23=1,IF('Model inputs'!N23="","",'Model inputs'!N23=1))),IF('Model inputs'!AB64="","",'Model inputs'!AB64),IF('Model inputs'!M68="","",'Model inputs'!M68)))+'Model inputs'!N42</f>
        <v>4083.0071540557283</v>
      </c>
      <c r="O68" s="9">
        <f>IF(IF(IF(IF(ISERROR('Model inputs'!O23=1),'Model inputs'!O23=1,IF('Model inputs'!O23="","",'Model inputs'!O23=1))="",FALSE,IF(ISERROR('Model inputs'!O23=1),'Model inputs'!O23=1,IF('Model inputs'!O23="","",'Model inputs'!O23=1))),IF('Model inputs'!AB64="","",'Model inputs'!AB64),IF('Model inputs'!N68="","",'Model inputs'!N68))="",0,IF(IF(IF(ISERROR('Model inputs'!O23=1),'Model inputs'!O23=1,IF('Model inputs'!O23="","",'Model inputs'!O23=1))="",FALSE,IF(ISERROR('Model inputs'!O23=1),'Model inputs'!O23=1,IF('Model inputs'!O23="","",'Model inputs'!O23=1))),IF('Model inputs'!AB64="","",'Model inputs'!AB64),IF('Model inputs'!N68="","",'Model inputs'!N68)))+'Model inputs'!O42</f>
        <v>5080.808012542416</v>
      </c>
      <c r="P68" s="9">
        <f>IF(IF(IF(IF(ISERROR('Model inputs'!P23=1),'Model inputs'!P23=1,IF('Model inputs'!P23="","",'Model inputs'!P23=1))="",FALSE,IF(ISERROR('Model inputs'!P23=1),'Model inputs'!P23=1,IF('Model inputs'!P23="","",'Model inputs'!P23=1))),IF('Model inputs'!AB64="","",'Model inputs'!AB64),IF('Model inputs'!O68="","",'Model inputs'!O68))="",0,IF(IF(IF(ISERROR('Model inputs'!P23=1),'Model inputs'!P23=1,IF('Model inputs'!P23="","",'Model inputs'!P23=1))="",FALSE,IF(ISERROR('Model inputs'!P23=1),'Model inputs'!P23=1,IF('Model inputs'!P23="","",'Model inputs'!P23=1))),IF('Model inputs'!AB64="","",'Model inputs'!AB64),IF('Model inputs'!O68="","",'Model inputs'!O68)))+'Model inputs'!P42</f>
        <v>6234.344974047505</v>
      </c>
      <c r="Q68" s="9">
        <f>IF(IF(IF(IF(ISERROR('Model inputs'!Q23=1),'Model inputs'!Q23=1,IF('Model inputs'!Q23="","",'Model inputs'!Q23=1))="",FALSE,IF(ISERROR('Model inputs'!Q23=1),'Model inputs'!Q23=1,IF('Model inputs'!Q23="","",'Model inputs'!Q23=1))),IF('Model inputs'!AB64="","",'Model inputs'!AB64),IF('Model inputs'!P68="","",'Model inputs'!P68))="",0,IF(IF(IF(ISERROR('Model inputs'!Q23=1),'Model inputs'!Q23=1,IF('Model inputs'!Q23="","",'Model inputs'!Q23=1))="",FALSE,IF(ISERROR('Model inputs'!Q23=1),'Model inputs'!Q23=1,IF('Model inputs'!Q23="","",'Model inputs'!Q23=1))),IF('Model inputs'!AB64="","",'Model inputs'!AB64),IF('Model inputs'!P68="","",'Model inputs'!P68)))+'Model inputs'!Q42</f>
        <v>7562.3063709332055</v>
      </c>
      <c r="R68" s="9">
        <f>IF(IF(IF(IF(ISERROR('Model inputs'!R23=1),'Model inputs'!R23=1,IF('Model inputs'!R23="","",'Model inputs'!R23=1))="",FALSE,IF(ISERROR('Model inputs'!R23=1),'Model inputs'!R23=1,IF('Model inputs'!R23="","",'Model inputs'!R23=1))),IF('Model inputs'!AB64="","",'Model inputs'!AB64),IF('Model inputs'!Q68="","",'Model inputs'!Q68))="",0,IF(IF(IF(ISERROR('Model inputs'!R23=1),'Model inputs'!R23=1,IF('Model inputs'!R23="","",'Model inputs'!R23=1))="",FALSE,IF(ISERROR('Model inputs'!R23=1),'Model inputs'!R23=1,IF('Model inputs'!R23="","",'Model inputs'!R23=1))),IF('Model inputs'!AB64="","",'Model inputs'!AB64),IF('Model inputs'!Q68="","",'Model inputs'!Q68)))+'Model inputs'!R42</f>
        <v>9085.62313544519</v>
      </c>
      <c r="S68" s="9">
        <f>IF(IF(IF(IF(ISERROR('Model inputs'!S23=1),'Model inputs'!S23=1,IF('Model inputs'!S23="","",'Model inputs'!S23=1))="",FALSE,IF(ISERROR('Model inputs'!S23=1),'Model inputs'!S23=1,IF('Model inputs'!S23="","",'Model inputs'!S23=1))),IF('Model inputs'!AB64="","",'Model inputs'!AB64),IF('Model inputs'!R68="","",'Model inputs'!R68))="",0,IF(IF(IF(ISERROR('Model inputs'!S23=1),'Model inputs'!S23=1,IF('Model inputs'!S23="","",'Model inputs'!S23=1))="",FALSE,IF(ISERROR('Model inputs'!S23=1),'Model inputs'!S23=1,IF('Model inputs'!S23="","",'Model inputs'!S23=1))),IF('Model inputs'!AB64="","",'Model inputs'!AB64),IF('Model inputs'!R68="","",'Model inputs'!R68)))+'Model inputs'!S42</f>
        <v>10827.737911698612</v>
      </c>
      <c r="T68" s="9">
        <f>IF(IF(IF(IF(ISERROR('Model inputs'!T23=1),'Model inputs'!T23=1,IF('Model inputs'!T23="","",'Model inputs'!T23=1))="",FALSE,IF(ISERROR('Model inputs'!T23=1),'Model inputs'!T23=1,IF('Model inputs'!T23="","",'Model inputs'!T23=1))),IF('Model inputs'!AB64="","",'Model inputs'!AB64),IF('Model inputs'!S68="","",'Model inputs'!S68))="",0,IF(IF(IF(ISERROR('Model inputs'!T23=1),'Model inputs'!T23=1,IF('Model inputs'!T23="","",'Model inputs'!T23=1))="",FALSE,IF(ISERROR('Model inputs'!T23=1),'Model inputs'!T23=1,IF('Model inputs'!T23="","",'Model inputs'!T23=1))),IF('Model inputs'!AB64="","",'Model inputs'!AB64),IF('Model inputs'!S68="","",'Model inputs'!S68)))+'Model inputs'!T42</f>
        <v>12814.906461102446</v>
      </c>
      <c r="U68" s="9">
        <f>IF(IF(IF(IF(ISERROR('Model inputs'!U23=1),'Model inputs'!U23=1,IF('Model inputs'!U23="","",'Model inputs'!U23=1))="",FALSE,IF(ISERROR('Model inputs'!U23=1),'Model inputs'!U23=1,IF('Model inputs'!U23="","",'Model inputs'!U23=1))),IF('Model inputs'!AB64="","",'Model inputs'!AB64),IF('Model inputs'!T68="","",'Model inputs'!T68))="",0,IF(IF(IF(ISERROR('Model inputs'!U23=1),'Model inputs'!U23=1,IF('Model inputs'!U23="","",'Model inputs'!U23=1))="",FALSE,IF(ISERROR('Model inputs'!U23=1),'Model inputs'!U23=1,IF('Model inputs'!U23="","",'Model inputs'!U23=1))),IF('Model inputs'!AB64="","",'Model inputs'!AB64),IF('Model inputs'!T68="","",'Model inputs'!T68)))+'Model inputs'!U42</f>
        <v>15076.535236434738</v>
      </c>
      <c r="V68" s="9">
        <f>IF(IF(IF(IF(ISERROR('Model inputs'!V23=1),'Model inputs'!V23=1,IF('Model inputs'!V23="","",'Model inputs'!V23=1))="",FALSE,IF(ISERROR('Model inputs'!V23=1),'Model inputs'!V23=1,IF('Model inputs'!V23="","",'Model inputs'!V23=1))),IF('Model inputs'!AB64="","",'Model inputs'!AB64),IF('Model inputs'!U68="","",'Model inputs'!U68))="",0,IF(IF(IF(ISERROR('Model inputs'!V23=1),'Model inputs'!V23=1,IF('Model inputs'!V23="","",'Model inputs'!V23=1))="",FALSE,IF(ISERROR('Model inputs'!V23=1),'Model inputs'!V23=1,IF('Model inputs'!V23="","",'Model inputs'!V23=1))),IF('Model inputs'!AB64="","",'Model inputs'!AB64),IF('Model inputs'!U68="","",'Model inputs'!U68)))+'Model inputs'!V42</f>
        <v>17645.559464806905</v>
      </c>
      <c r="W68" s="9">
        <f>IF(IF(IF(IF(ISERROR('Model inputs'!W23=1),'Model inputs'!W23=1,IF('Model inputs'!W23="","",'Model inputs'!W23=1))="",FALSE,IF(ISERROR('Model inputs'!W23=1),'Model inputs'!W23=1,IF('Model inputs'!W23="","",'Model inputs'!W23=1))),IF('Model inputs'!AB64="","",'Model inputs'!AB64),IF('Model inputs'!V68="","",'Model inputs'!V68))="",0,IF(IF(IF(ISERROR('Model inputs'!W23=1),'Model inputs'!W23=1,IF('Model inputs'!W23="","",'Model inputs'!W23=1))="",FALSE,IF(ISERROR('Model inputs'!W23=1),'Model inputs'!W23=1,IF('Model inputs'!W23="","",'Model inputs'!W23=1))),IF('Model inputs'!AB64="","",'Model inputs'!AB64),IF('Model inputs'!V68="","",'Model inputs'!V68)))+'Model inputs'!W42</f>
        <v>20558.866600583733</v>
      </c>
      <c r="X68" s="9">
        <f>IF(IF(IF(IF(ISERROR('Model inputs'!X23=1),'Model inputs'!X23=1,IF('Model inputs'!X23="","",'Model inputs'!X23=1))="",FALSE,IF(ISERROR('Model inputs'!X23=1),'Model inputs'!X23=1,IF('Model inputs'!X23="","",'Model inputs'!X23=1))),IF('Model inputs'!AB64="","",'Model inputs'!AB64),IF('Model inputs'!W68="","",'Model inputs'!W68))="",0,IF(IF(IF(ISERROR('Model inputs'!X23=1),'Model inputs'!X23=1,IF('Model inputs'!X23="","",'Model inputs'!X23=1))="",FALSE,IF(ISERROR('Model inputs'!X23=1),'Model inputs'!X23=1,IF('Model inputs'!X23="","",'Model inputs'!X23=1))),IF('Model inputs'!AB64="","",'Model inputs'!AB64),IF('Model inputs'!W68="","",'Model inputs'!W68)))+'Model inputs'!X42</f>
        <v>23857.770592653782</v>
      </c>
      <c r="Y68" s="9">
        <f>IF(IF(IF(IF(ISERROR('Model inputs'!Y23=1),'Model inputs'!Y23=1,IF('Model inputs'!Y23="","",'Model inputs'!Y23=1))="",FALSE,IF(ISERROR('Model inputs'!Y23=1),'Model inputs'!Y23=1,IF('Model inputs'!Y23="","",'Model inputs'!Y23=1))),IF('Model inputs'!AB64="","",'Model inputs'!AB64),IF('Model inputs'!X68="","",'Model inputs'!X68))="",0,IF(IF(IF(ISERROR('Model inputs'!Y23=1),'Model inputs'!Y23=1,IF('Model inputs'!Y23="","",'Model inputs'!Y23=1))="",FALSE,IF(ISERROR('Model inputs'!Y23=1),'Model inputs'!Y23=1,IF('Model inputs'!Y23="","",'Model inputs'!Y23=1))),IF('Model inputs'!AB64="","",'Model inputs'!AB64),IF('Model inputs'!X68="","",'Model inputs'!X68)))+'Model inputs'!Y42</f>
        <v>27588.543063772235</v>
      </c>
      <c r="Z68" s="9">
        <f>IF(IF(IF(IF(ISERROR('Model inputs'!Z23=1),'Model inputs'!Z23=1,IF('Model inputs'!Z23="","",'Model inputs'!Z23=1))="",FALSE,IF(ISERROR('Model inputs'!Z23=1),'Model inputs'!Z23=1,IF('Model inputs'!Z23="","",'Model inputs'!Z23=1))),IF('Model inputs'!AB64="","",'Model inputs'!AB64),IF('Model inputs'!Y68="","",'Model inputs'!Y68))="",0,IF(IF(IF(ISERROR('Model inputs'!Z23=1),'Model inputs'!Z23=1,IF('Model inputs'!Z23="","",'Model inputs'!Z23=1))="",FALSE,IF(ISERROR('Model inputs'!Z23=1),'Model inputs'!Z23=1,IF('Model inputs'!Z23="","",'Model inputs'!Z23=1))),IF('Model inputs'!AB64="","",'Model inputs'!AB64),IF('Model inputs'!Y68="","",'Model inputs'!Y68)))+'Model inputs'!Z42</f>
        <v>31803.008231424905</v>
      </c>
      <c r="AA68" s="9">
        <v>0</v>
      </c>
    </row>
    <row r="69">
      <c r="A69" t="inlineStr" s="18">
        <is>
          <t xml:space="preserve">Unfunded cash · Upshift — Upside</t>
        </is>
      </c>
      <c r="B69" s="9">
        <f>IF(IF(IF(IF(ISERROR('Model inputs'!B24=1),'Model inputs'!B24=1,IF('Model inputs'!B24="","",'Model inputs'!B24=1))="",FALSE,IF(ISERROR('Model inputs'!B24=1),'Model inputs'!B24=1,IF('Model inputs'!B24="","",'Model inputs'!B24=1))),IF('Model inputs'!AB65="","",'Model inputs'!AB65),IF('Model inputs'!Z69="","",'Model inputs'!Z69))="",0,IF(IF(IF(ISERROR('Model inputs'!B24=1),'Model inputs'!B24=1,IF('Model inputs'!B24="","",'Model inputs'!B24=1))="",FALSE,IF(ISERROR('Model inputs'!B24=1),'Model inputs'!B24=1,IF('Model inputs'!B24="","",'Model inputs'!B24=1))),IF('Model inputs'!AB65="","",'Model inputs'!AB65),IF('Model inputs'!Z69="","",'Model inputs'!Z69)))+'Model inputs'!B43</f>
        <v>411008.5841392312</v>
      </c>
      <c r="D69" s="9">
        <f>IF(IF(IF(IF(ISERROR('Model inputs'!D24=1),'Model inputs'!D24=1,IF('Model inputs'!D24="","",'Model inputs'!D24=1))="",FALSE,IF(ISERROR('Model inputs'!D24=1),'Model inputs'!D24=1,IF('Model inputs'!D24="","",'Model inputs'!D24=1))),IF('Model inputs'!AB65="","",'Model inputs'!AB65),IF('Model inputs'!AA69="","",'Model inputs'!AA69))="",0,IF(IF(IF(ISERROR('Model inputs'!D24=1),'Model inputs'!D24=1,IF('Model inputs'!D24="","",'Model inputs'!D24=1))="",FALSE,IF(ISERROR('Model inputs'!D24=1),'Model inputs'!D24=1,IF('Model inputs'!D24="","",'Model inputs'!D24=1))),IF('Model inputs'!AB65="","",'Model inputs'!AB65),IF('Model inputs'!AA69="","",'Model inputs'!AA69)))+'Model inputs'!D43</f>
        <v>90.00000000000006</v>
      </c>
      <c r="E69" s="9">
        <f>IF(IF(IF(IF(ISERROR('Model inputs'!E24=1),'Model inputs'!E24=1,IF('Model inputs'!E24="","",'Model inputs'!E24=1))="",FALSE,IF(ISERROR('Model inputs'!E24=1),'Model inputs'!E24=1,IF('Model inputs'!E24="","",'Model inputs'!E24=1))),IF('Model inputs'!AB65="","",'Model inputs'!AB65),IF('Model inputs'!D69="","",'Model inputs'!D69))="",0,IF(IF(IF(ISERROR('Model inputs'!E24=1),'Model inputs'!E24=1,IF('Model inputs'!E24="","",'Model inputs'!E24=1))="",FALSE,IF(ISERROR('Model inputs'!E24=1),'Model inputs'!E24=1,IF('Model inputs'!E24="","",'Model inputs'!E24=1))),IF('Model inputs'!AB65="","",'Model inputs'!AB65),IF('Model inputs'!D69="","",'Model inputs'!D69)))+'Model inputs'!E43</f>
        <v>570.0000000000002</v>
      </c>
      <c r="F69" s="9">
        <f>IF(IF(IF(IF(ISERROR('Model inputs'!F24=1),'Model inputs'!F24=1,IF('Model inputs'!F24="","",'Model inputs'!F24=1))="",FALSE,IF(ISERROR('Model inputs'!F24=1),'Model inputs'!F24=1,IF('Model inputs'!F24="","",'Model inputs'!F24=1))),IF('Model inputs'!AB65="","",'Model inputs'!AB65),IF('Model inputs'!E69="","",'Model inputs'!E69))="",0,IF(IF(IF(ISERROR('Model inputs'!F24=1),'Model inputs'!F24=1,IF('Model inputs'!F24="","",'Model inputs'!F24=1))="",FALSE,IF(ISERROR('Model inputs'!F24=1),'Model inputs'!F24=1,IF('Model inputs'!F24="","",'Model inputs'!F24=1))),IF('Model inputs'!AB65="","",'Model inputs'!AB65),IF('Model inputs'!E69="","",'Model inputs'!E69)))+'Model inputs'!F43</f>
        <v>1440.0000000000002</v>
      </c>
      <c r="G69" s="9">
        <f>IF(IF(IF(IF(ISERROR('Model inputs'!G24=1),'Model inputs'!G24=1,IF('Model inputs'!G24="","",'Model inputs'!G24=1))="",FALSE,IF(ISERROR('Model inputs'!G24=1),'Model inputs'!G24=1,IF('Model inputs'!G24="","",'Model inputs'!G24=1))),IF('Model inputs'!AB65="","",'Model inputs'!AB65),IF('Model inputs'!F69="","",'Model inputs'!F69))="",0,IF(IF(IF(ISERROR('Model inputs'!G24=1),'Model inputs'!G24=1,IF('Model inputs'!G24="","",'Model inputs'!G24=1))="",FALSE,IF(ISERROR('Model inputs'!G24=1),'Model inputs'!G24=1,IF('Model inputs'!G24="","",'Model inputs'!G24=1))),IF('Model inputs'!AB65="","",'Model inputs'!AB65),IF('Model inputs'!F69="","",'Model inputs'!F69)))+'Model inputs'!G43</f>
        <v>2567.4000000000005</v>
      </c>
      <c r="H69" s="9">
        <f>IF(IF(IF(IF(ISERROR('Model inputs'!H24=1),'Model inputs'!H24=1,IF('Model inputs'!H24="","",'Model inputs'!H24=1))="",FALSE,IF(ISERROR('Model inputs'!H24=1),'Model inputs'!H24=1,IF('Model inputs'!H24="","",'Model inputs'!H24=1))),IF('Model inputs'!AB65="","",'Model inputs'!AB65),IF('Model inputs'!G69="","",'Model inputs'!G69))="",0,IF(IF(IF(ISERROR('Model inputs'!H24=1),'Model inputs'!H24=1,IF('Model inputs'!H24="","",'Model inputs'!H24=1))="",FALSE,IF(ISERROR('Model inputs'!H24=1),'Model inputs'!H24=1,IF('Model inputs'!H24="","",'Model inputs'!H24=1))),IF('Model inputs'!AB65="","",'Model inputs'!AB65),IF('Model inputs'!G69="","",'Model inputs'!G69)))+'Model inputs'!H43</f>
        <v>4008.8280000000004</v>
      </c>
      <c r="I69" s="9">
        <f>IF(IF(IF(IF(ISERROR('Model inputs'!I24=1),'Model inputs'!I24=1,IF('Model inputs'!I24="","",'Model inputs'!I24=1))="",FALSE,IF(ISERROR('Model inputs'!I24=1),'Model inputs'!I24=1,IF('Model inputs'!I24="","",'Model inputs'!I24=1))),IF('Model inputs'!AB65="","",'Model inputs'!AB65),IF('Model inputs'!H69="","",'Model inputs'!H69))="",0,IF(IF(IF(ISERROR('Model inputs'!I24=1),'Model inputs'!I24=1,IF('Model inputs'!I24="","",'Model inputs'!I24=1))="",FALSE,IF(ISERROR('Model inputs'!I24=1),'Model inputs'!I24=1,IF('Model inputs'!I24="","",'Model inputs'!I24=1))),IF('Model inputs'!AB65="","",'Model inputs'!AB65),IF('Model inputs'!H69="","",'Model inputs'!H69)))+'Model inputs'!I43</f>
        <v>5833.37016</v>
      </c>
      <c r="J69" s="9">
        <f>IF(IF(IF(IF(ISERROR('Model inputs'!J24=1),'Model inputs'!J24=1,IF('Model inputs'!J24="","",'Model inputs'!J24=1))="",FALSE,IF(ISERROR('Model inputs'!J24=1),'Model inputs'!J24=1,IF('Model inputs'!J24="","",'Model inputs'!J24=1))),IF('Model inputs'!AB65="","",'Model inputs'!AB65),IF('Model inputs'!I69="","",'Model inputs'!I69))="",0,IF(IF(IF(ISERROR('Model inputs'!J24=1),'Model inputs'!J24=1,IF('Model inputs'!J24="","",'Model inputs'!J24=1))="",FALSE,IF(ISERROR('Model inputs'!J24=1),'Model inputs'!J24=1,IF('Model inputs'!J24="","",'Model inputs'!J24=1))),IF('Model inputs'!AB65="","",'Model inputs'!AB65),IF('Model inputs'!I69="","",'Model inputs'!I69)))+'Model inputs'!J43</f>
        <v>8125.311595200001</v>
      </c>
      <c r="K69" s="9">
        <f>IF(IF(IF(IF(ISERROR('Model inputs'!K24=1),'Model inputs'!K24=1,IF('Model inputs'!K24="","",'Model inputs'!K24=1))="",FALSE,IF(ISERROR('Model inputs'!K24=1),'Model inputs'!K24=1,IF('Model inputs'!K24="","",'Model inputs'!K24=1))),IF('Model inputs'!AB65="","",'Model inputs'!AB65),IF('Model inputs'!J69="","",'Model inputs'!J69))="",0,IF(IF(IF(ISERROR('Model inputs'!K24=1),'Model inputs'!K24=1,IF('Model inputs'!K24="","",'Model inputs'!K24=1))="",FALSE,IF(ISERROR('Model inputs'!K24=1),'Model inputs'!K24=1,IF('Model inputs'!K24="","",'Model inputs'!K24=1))),IF('Model inputs'!AB65="","",'Model inputs'!AB65),IF('Model inputs'!J69="","",'Model inputs'!J69)))+'Model inputs'!K43</f>
        <v>10987.480146144</v>
      </c>
      <c r="L69" s="9">
        <f>IF(IF(IF(IF(ISERROR('Model inputs'!L24=1),'Model inputs'!L24=1,IF('Model inputs'!L24="","",'Model inputs'!L24=1))="",FALSE,IF(ISERROR('Model inputs'!L24=1),'Model inputs'!L24=1,IF('Model inputs'!L24="","",'Model inputs'!L24=1))),IF('Model inputs'!AB65="","",'Model inputs'!AB65),IF('Model inputs'!K69="","",'Model inputs'!K69))="",0,IF(IF(IF(ISERROR('Model inputs'!L24=1),'Model inputs'!L24=1,IF('Model inputs'!L24="","",'Model inputs'!L24=1))="",FALSE,IF(ISERROR('Model inputs'!L24=1),'Model inputs'!L24=1,IF('Model inputs'!L24="","",'Model inputs'!L24=1))),IF('Model inputs'!AB65="","",'Model inputs'!AB65),IF('Model inputs'!K69="","",'Model inputs'!K69)))+'Model inputs'!L43</f>
        <v>14545.32577829568</v>
      </c>
      <c r="M69" s="9">
        <f>IF(IF(IF(IF(ISERROR('Model inputs'!M24=1),'Model inputs'!M24=1,IF('Model inputs'!M24="","",'Model inputs'!M24=1))="",FALSE,IF(ISERROR('Model inputs'!M24=1),'Model inputs'!M24=1,IF('Model inputs'!M24="","",'Model inputs'!M24=1))),IF('Model inputs'!AB65="","",'Model inputs'!AB65),IF('Model inputs'!L69="","",'Model inputs'!L69))="",0,IF(IF(IF(ISERROR('Model inputs'!M24=1),'Model inputs'!M24=1,IF('Model inputs'!M24="","",'Model inputs'!M24=1))="",FALSE,IF(ISERROR('Model inputs'!M24=1),'Model inputs'!M24=1,IF('Model inputs'!M24="","",'Model inputs'!M24=1))),IF('Model inputs'!AB65="","",'Model inputs'!AB65),IF('Model inputs'!L69="","",'Model inputs'!L69)))+'Model inputs'!M43</f>
        <v>18951.89744952073</v>
      </c>
      <c r="N69" s="9">
        <f>IF(IF(IF(IF(ISERROR('Model inputs'!N24=1),'Model inputs'!N24=1,IF('Model inputs'!N24="","",'Model inputs'!N24=1))="",FALSE,IF(ISERROR('Model inputs'!N24=1),'Model inputs'!N24=1,IF('Model inputs'!N24="","",'Model inputs'!N24=1))),IF('Model inputs'!AB65="","",'Model inputs'!AB65),IF('Model inputs'!M69="","",'Model inputs'!M69))="",0,IF(IF(IF(ISERROR('Model inputs'!N24=1),'Model inputs'!N24=1,IF('Model inputs'!N24="","",'Model inputs'!N24=1))="",FALSE,IF(ISERROR('Model inputs'!N24=1),'Model inputs'!N24=1,IF('Model inputs'!N24="","",'Model inputs'!N24=1))),IF('Model inputs'!AB65="","",'Model inputs'!AB65),IF('Model inputs'!M69="","",'Model inputs'!M69)))+'Model inputs'!N43</f>
        <v>24393.91488841529</v>
      </c>
      <c r="O69" s="9">
        <f>IF(IF(IF(IF(ISERROR('Model inputs'!O24=1),'Model inputs'!O24=1,IF('Model inputs'!O24="","",'Model inputs'!O24=1))="",FALSE,IF(ISERROR('Model inputs'!O24=1),'Model inputs'!O24=1,IF('Model inputs'!O24="","",'Model inputs'!O24=1))),IF('Model inputs'!AB65="","",'Model inputs'!AB65),IF('Model inputs'!N69="","",'Model inputs'!N69))="",0,IF(IF(IF(ISERROR('Model inputs'!O24=1),'Model inputs'!O24=1,IF('Model inputs'!O24="","",'Model inputs'!O24=1))="",FALSE,IF(ISERROR('Model inputs'!O24=1),'Model inputs'!O24=1,IF('Model inputs'!O24="","",'Model inputs'!O24=1))),IF('Model inputs'!AB65="","",'Model inputs'!AB65),IF('Model inputs'!N69="","",'Model inputs'!N69)))+'Model inputs'!O43</f>
        <v>31099.176163866654</v>
      </c>
      <c r="P69" s="9">
        <f>IF(IF(IF(IF(ISERROR('Model inputs'!P24=1),'Model inputs'!P24=1,IF('Model inputs'!P24="","",'Model inputs'!P24=1))="",FALSE,IF(ISERROR('Model inputs'!P24=1),'Model inputs'!P24=1,IF('Model inputs'!P24="","",'Model inputs'!P24=1))),IF('Model inputs'!AB65="","",'Model inputs'!AB65),IF('Model inputs'!O69="","",'Model inputs'!O69))="",0,IF(IF(IF(ISERROR('Model inputs'!P24=1),'Model inputs'!P24=1,IF('Model inputs'!P24="","",'Model inputs'!P24=1))="",FALSE,IF(ISERROR('Model inputs'!P24=1),'Model inputs'!P24=1,IF('Model inputs'!P24="","",'Model inputs'!P24=1))),IF('Model inputs'!AB65="","",'Model inputs'!AB65),IF('Model inputs'!O69="","",'Model inputs'!O69)))+'Model inputs'!P43</f>
        <v>39345.59491991732</v>
      </c>
      <c r="Q69" s="9">
        <f>IF(IF(IF(IF(ISERROR('Model inputs'!Q24=1),'Model inputs'!Q24=1,IF('Model inputs'!Q24="","",'Model inputs'!Q24=1))="",FALSE,IF(ISERROR('Model inputs'!Q24=1),'Model inputs'!Q24=1,IF('Model inputs'!Q24="","",'Model inputs'!Q24=1))),IF('Model inputs'!AB65="","",'Model inputs'!AB65),IF('Model inputs'!P69="","",'Model inputs'!P69))="",0,IF(IF(IF(ISERROR('Model inputs'!Q24=1),'Model inputs'!Q24=1,IF('Model inputs'!Q24="","",'Model inputs'!Q24=1))="",FALSE,IF(ISERROR('Model inputs'!Q24=1),'Model inputs'!Q24=1,IF('Model inputs'!Q24="","",'Model inputs'!Q24=1))),IF('Model inputs'!AB65="","",'Model inputs'!AB65),IF('Model inputs'!P69="","",'Model inputs'!P69)))+'Model inputs'!Q43</f>
        <v>49472.22580229913</v>
      </c>
      <c r="R69" s="9">
        <f>IF(IF(IF(IF(ISERROR('Model inputs'!R24=1),'Model inputs'!R24=1,IF('Model inputs'!R24="","",'Model inputs'!R24=1))="",FALSE,IF(ISERROR('Model inputs'!R24=1),'Model inputs'!R24=1,IF('Model inputs'!R24="","",'Model inputs'!R24=1))),IF('Model inputs'!AB65="","",'Model inputs'!AB65),IF('Model inputs'!Q69="","",'Model inputs'!Q69))="",0,IF(IF(IF(ISERROR('Model inputs'!R24=1),'Model inputs'!R24=1,IF('Model inputs'!R24="","",'Model inputs'!R24=1))="",FALSE,IF(ISERROR('Model inputs'!R24=1),'Model inputs'!R24=1,IF('Model inputs'!R24="","",'Model inputs'!R24=1))),IF('Model inputs'!AB65="","",'Model inputs'!AB65),IF('Model inputs'!Q69="","",'Model inputs'!Q69)))+'Model inputs'!R43</f>
        <v>61892.71547880494</v>
      </c>
      <c r="S69" s="9">
        <f>IF(IF(IF(IF(ISERROR('Model inputs'!S24=1),'Model inputs'!S24=1,IF('Model inputs'!S24="","",'Model inputs'!S24=1))="",FALSE,IF(ISERROR('Model inputs'!S24=1),'Model inputs'!S24=1,IF('Model inputs'!S24="","",'Model inputs'!S24=1))),IF('Model inputs'!AB65="","",'Model inputs'!AB65),IF('Model inputs'!R69="","",'Model inputs'!R69))="",0,IF(IF(IF(ISERROR('Model inputs'!S24=1),'Model inputs'!S24=1,IF('Model inputs'!S24="","",'Model inputs'!S24=1))="",FALSE,IF(ISERROR('Model inputs'!S24=1),'Model inputs'!S24=1,IF('Model inputs'!S24="","",'Model inputs'!S24=1))),IF('Model inputs'!AB65="","",'Model inputs'!AB65),IF('Model inputs'!R69="","",'Model inputs'!R69)))+'Model inputs'!S43</f>
        <v>77111.71288414203</v>
      </c>
      <c r="T69" s="9">
        <f>IF(IF(IF(IF(ISERROR('Model inputs'!T24=1),'Model inputs'!T24=1,IF('Model inputs'!T24="","",'Model inputs'!T24=1))="",FALSE,IF(ISERROR('Model inputs'!T24=1),'Model inputs'!T24=1,IF('Model inputs'!T24="","",'Model inputs'!T24=1))),IF('Model inputs'!AB65="","",'Model inputs'!AB65),IF('Model inputs'!S69="","",'Model inputs'!S69))="",0,IF(IF(IF(ISERROR('Model inputs'!T24=1),'Model inputs'!T24=1,IF('Model inputs'!T24="","",'Model inputs'!T24=1))="",FALSE,IF(ISERROR('Model inputs'!T24=1),'Model inputs'!T24=1,IF('Model inputs'!T24="","",'Model inputs'!T24=1))),IF('Model inputs'!AB65="","",'Model inputs'!AB65),IF('Model inputs'!S69="","",'Model inputs'!S69)))+'Model inputs'!T43</f>
        <v>95744.88971865328</v>
      </c>
      <c r="U69" s="9">
        <f>IF(IF(IF(IF(ISERROR('Model inputs'!U24=1),'Model inputs'!U24=1,IF('Model inputs'!U24="","",'Model inputs'!U24=1))="",FALSE,IF(ISERROR('Model inputs'!U24=1),'Model inputs'!U24=1,IF('Model inputs'!U24="","",'Model inputs'!U24=1))),IF('Model inputs'!AB65="","",'Model inputs'!AB65),IF('Model inputs'!T69="","",'Model inputs'!T69))="",0,IF(IF(IF(ISERROR('Model inputs'!U24=1),'Model inputs'!U24=1,IF('Model inputs'!U24="","",'Model inputs'!U24=1))="",FALSE,IF(ISERROR('Model inputs'!U24=1),'Model inputs'!U24=1,IF('Model inputs'!U24="","",'Model inputs'!U24=1))),IF('Model inputs'!AB65="","",'Model inputs'!AB65),IF('Model inputs'!T69="","",'Model inputs'!T69)))+'Model inputs'!U43</f>
        <v>118543.36545675702</v>
      </c>
      <c r="V69" s="9">
        <f>IF(IF(IF(IF(ISERROR('Model inputs'!V24=1),'Model inputs'!V24=1,IF('Model inputs'!V24="","",'Model inputs'!V24=1))="",FALSE,IF(ISERROR('Model inputs'!V24=1),'Model inputs'!V24=1,IF('Model inputs'!V24="","",'Model inputs'!V24=1))),IF('Model inputs'!AB65="","",'Model inputs'!AB65),IF('Model inputs'!U69="","",'Model inputs'!U69))="",0,IF(IF(IF(ISERROR('Model inputs'!V24=1),'Model inputs'!V24=1,IF('Model inputs'!V24="","",'Model inputs'!V24=1))="",FALSE,IF(ISERROR('Model inputs'!V24=1),'Model inputs'!V24=1,IF('Model inputs'!V24="","",'Model inputs'!V24=1))),IF('Model inputs'!AB65="","",'Model inputs'!AB65),IF('Model inputs'!U69="","",'Model inputs'!U69)))+'Model inputs'!V43</f>
        <v>146423.50585724355</v>
      </c>
      <c r="W69" s="9">
        <f>IF(IF(IF(IF(ISERROR('Model inputs'!W24=1),'Model inputs'!W24=1,IF('Model inputs'!W24="","",'Model inputs'!W24=1))="",FALSE,IF(ISERROR('Model inputs'!W24=1),'Model inputs'!W24=1,IF('Model inputs'!W24="","",'Model inputs'!W24=1))),IF('Model inputs'!AB65="","",'Model inputs'!AB65),IF('Model inputs'!V69="","",'Model inputs'!V69))="",0,IF(IF(IF(ISERROR('Model inputs'!W24=1),'Model inputs'!W24=1,IF('Model inputs'!W24="","",'Model inputs'!W24=1))="",FALSE,IF(ISERROR('Model inputs'!W24=1),'Model inputs'!W24=1,IF('Model inputs'!W24="","",'Model inputs'!W24=1))),IF('Model inputs'!AB65="","",'Model inputs'!AB65),IF('Model inputs'!V69="","",'Model inputs'!V69)))+'Model inputs'!W43</f>
        <v>180503.27714583714</v>
      </c>
      <c r="X69" s="9">
        <f>IF(IF(IF(IF(ISERROR('Model inputs'!X24=1),'Model inputs'!X24=1,IF('Model inputs'!X24="","",'Model inputs'!X24=1))="",FALSE,IF(ISERROR('Model inputs'!X24=1),'Model inputs'!X24=1,IF('Model inputs'!X24="","",'Model inputs'!X24=1))),IF('Model inputs'!AB65="","",'Model inputs'!AB65),IF('Model inputs'!W69="","",'Model inputs'!W69))="",0,IF(IF(IF(ISERROR('Model inputs'!X24=1),'Model inputs'!X24=1,IF('Model inputs'!X24="","",'Model inputs'!X24=1))="",FALSE,IF(ISERROR('Model inputs'!X24=1),'Model inputs'!X24=1,IF('Model inputs'!X24="","",'Model inputs'!X24=1))),IF('Model inputs'!AB65="","",'Model inputs'!AB65),IF('Model inputs'!W69="","",'Model inputs'!W69)))+'Model inputs'!X43</f>
        <v>222146.5981179213</v>
      </c>
      <c r="Y69" s="9">
        <f>IF(IF(IF(IF(ISERROR('Model inputs'!Y24=1),'Model inputs'!Y24=1,IF('Model inputs'!Y24="","",'Model inputs'!Y24=1))="",FALSE,IF(ISERROR('Model inputs'!Y24=1),'Model inputs'!Y24=1,IF('Model inputs'!Y24="","",'Model inputs'!Y24=1))),IF('Model inputs'!AB65="","",'Model inputs'!AB65),IF('Model inputs'!X69="","",'Model inputs'!X69))="",0,IF(IF(IF(ISERROR('Model inputs'!Y24=1),'Model inputs'!Y24=1,IF('Model inputs'!Y24="","",'Model inputs'!Y24=1))="",FALSE,IF(ISERROR('Model inputs'!Y24=1),'Model inputs'!Y24=1,IF('Model inputs'!Y24="","",'Model inputs'!Y24=1))),IF('Model inputs'!AB65="","",'Model inputs'!AB65),IF('Model inputs'!X69="","",'Model inputs'!X69)))+'Model inputs'!Y43</f>
        <v>273017.449703864</v>
      </c>
      <c r="Z69" s="9">
        <f>IF(IF(IF(IF(ISERROR('Model inputs'!Z24=1),'Model inputs'!Z24=1,IF('Model inputs'!Z24="","",'Model inputs'!Z24=1))="",FALSE,IF(ISERROR('Model inputs'!Z24=1),'Model inputs'!Z24=1,IF('Model inputs'!Z24="","",'Model inputs'!Z24=1))),IF('Model inputs'!AB65="","",'Model inputs'!AB65),IF('Model inputs'!Y69="","",'Model inputs'!Y69))="",0,IF(IF(IF(ISERROR('Model inputs'!Z24=1),'Model inputs'!Z24=1,IF('Model inputs'!Z24="","",'Model inputs'!Z24=1))="",FALSE,IF(ISERROR('Model inputs'!Z24=1),'Model inputs'!Z24=1,IF('Model inputs'!Z24="","",'Model inputs'!Z24=1))),IF('Model inputs'!AB65="","",'Model inputs'!AB65),IF('Model inputs'!Y69="","",'Model inputs'!Y69)))+'Model inputs'!Z43</f>
        <v>335145.8886387141</v>
      </c>
      <c r="AA69" s="9">
        <v>0</v>
      </c>
    </row>
    <row r="70">
      <c r="A70" t="inlineStr" s="18">
        <is>
          <t xml:space="preserve">Breaking compute cost · Compute costs · Main Scenario · Main Scenario</t>
        </is>
      </c>
      <c r="AB70" s="9">
        <f>'Model inputs'!C7</f>
        <v>0.1</v>
      </c>
    </row>
    <row r="71">
      <c r="A71" t="inlineStr" s="18">
        <is>
          <t xml:space="preserve">Breaking compute cost · Compute costs · Upshift — Upside · Upshift — Upside</t>
        </is>
      </c>
      <c r="AB71" s="9">
        <f>'Model inputs'!C7</f>
        <v>0.1</v>
      </c>
    </row>
    <row r="72">
      <c r="A72" t="inlineStr" s="18">
        <is>
          <t xml:space="preserve">Breaking jobs · Base and upside comparison · Main Scenario</t>
        </is>
      </c>
      <c r="B72" s="10">
        <f>('Model inputs'!B51+'Model inputs'!AB96)*'Model inputs'!C8+'Model inputs'!B51*'Model inputs'!AB86</f>
        <v>108.03848264467925</v>
      </c>
      <c r="D72" s="10">
        <f>('Model inputs'!D51+'Model inputs'!AB96)*'Model inputs'!C8+'Model inputs'!D51*'Model inputs'!AB86</f>
        <v>3.3333333333333335</v>
      </c>
      <c r="E72" s="10">
        <f>('Model inputs'!E51+'Model inputs'!AB96)*'Model inputs'!C8+'Model inputs'!E51*'Model inputs'!AB86</f>
        <v>6.666666666666668</v>
      </c>
      <c r="F72" s="10">
        <f>('Model inputs'!F51+'Model inputs'!AB96)*'Model inputs'!C8+'Model inputs'!F51*'Model inputs'!AB86</f>
        <v>10.000000000000002</v>
      </c>
      <c r="G72" s="10">
        <f>('Model inputs'!G51+'Model inputs'!AB96)*'Model inputs'!C8+'Model inputs'!G51*'Model inputs'!AB86</f>
        <v>11.200000000000001</v>
      </c>
      <c r="H72" s="10">
        <f>('Model inputs'!H51+'Model inputs'!AB96)*'Model inputs'!C8+'Model inputs'!H51*'Model inputs'!AB86</f>
        <v>12.544</v>
      </c>
      <c r="I72" s="10">
        <f>('Model inputs'!I51+'Model inputs'!AB96)*'Model inputs'!C8+'Model inputs'!I51*'Model inputs'!AB86</f>
        <v>14.049280000000001</v>
      </c>
      <c r="J72" s="10">
        <f>('Model inputs'!J51+'Model inputs'!AB96)*'Model inputs'!C8+'Model inputs'!J51*'Model inputs'!AB86</f>
        <v>15.7351936</v>
      </c>
      <c r="K72" s="10">
        <f>('Model inputs'!K51+'Model inputs'!AB96)*'Model inputs'!C8+'Model inputs'!K51*'Model inputs'!AB86</f>
        <v>17.623416832</v>
      </c>
      <c r="L72" s="10">
        <f>('Model inputs'!L51+'Model inputs'!AB96)*'Model inputs'!C8+'Model inputs'!L51*'Model inputs'!AB86</f>
        <v>19.738226851839997</v>
      </c>
      <c r="M72" s="10">
        <f>('Model inputs'!M51+'Model inputs'!AB96)*'Model inputs'!C8+'Model inputs'!M51*'Model inputs'!AB86</f>
        <v>22.106814074060797</v>
      </c>
      <c r="N72" s="10">
        <f>('Model inputs'!N51+'Model inputs'!AB96)*'Model inputs'!C8+'Model inputs'!N51*'Model inputs'!AB86</f>
        <v>24.759631762948093</v>
      </c>
      <c r="O72" s="10">
        <f>('Model inputs'!O51+'Model inputs'!AB96)*'Model inputs'!C8+'Model inputs'!O51*'Model inputs'!AB86</f>
        <v>27.730787574501864</v>
      </c>
      <c r="P72" s="10">
        <f>('Model inputs'!P51+'Model inputs'!AB96)*'Model inputs'!C8+'Model inputs'!P51*'Model inputs'!AB86</f>
        <v>31.058482083442087</v>
      </c>
      <c r="Q72" s="10">
        <f>('Model inputs'!Q51+'Model inputs'!AB96)*'Model inputs'!C8+'Model inputs'!Q51*'Model inputs'!AB86</f>
        <v>34.785499933455135</v>
      </c>
      <c r="R72" s="10">
        <f>('Model inputs'!R51+'Model inputs'!AB96)*'Model inputs'!C8+'Model inputs'!R51*'Model inputs'!AB86</f>
        <v>38.959759925469754</v>
      </c>
      <c r="S72" s="10">
        <f>('Model inputs'!S51+'Model inputs'!AB96)*'Model inputs'!C8+'Model inputs'!S51*'Model inputs'!AB86</f>
        <v>43.634931116526126</v>
      </c>
      <c r="T72" s="10">
        <f>('Model inputs'!T51+'Model inputs'!AB96)*'Model inputs'!C8+'Model inputs'!T51*'Model inputs'!AB86</f>
        <v>48.87112285050926</v>
      </c>
      <c r="U72" s="10">
        <f>('Model inputs'!U51+'Model inputs'!AB96)*'Model inputs'!C8+'Model inputs'!U51*'Model inputs'!AB86</f>
        <v>54.73565759257037</v>
      </c>
      <c r="V72" s="10">
        <f>('Model inputs'!V51+'Model inputs'!AB96)*'Model inputs'!C8+'Model inputs'!V51*'Model inputs'!AB86</f>
        <v>61.30393650367881</v>
      </c>
      <c r="W72" s="10">
        <f>('Model inputs'!W51+'Model inputs'!AB96)*'Model inputs'!C8+'Model inputs'!W51*'Model inputs'!AB86</f>
        <v>68.66040888412027</v>
      </c>
      <c r="X72" s="10">
        <f>('Model inputs'!X51+'Model inputs'!AB96)*'Model inputs'!C8+'Model inputs'!X51*'Model inputs'!AB86</f>
        <v>76.8996579502147</v>
      </c>
      <c r="Y72" s="10">
        <f>('Model inputs'!Y51+'Model inputs'!AB96)*'Model inputs'!C8+'Model inputs'!Y51*'Model inputs'!AB86</f>
        <v>86.12761690424047</v>
      </c>
      <c r="Z72" s="10">
        <f>('Model inputs'!Z51+'Model inputs'!AB96)*'Model inputs'!C8+'Model inputs'!Z51*'Model inputs'!AB86</f>
        <v>96.46293093274933</v>
      </c>
      <c r="AA72" s="10">
        <v>0</v>
      </c>
    </row>
    <row r="73">
      <c r="A73" t="inlineStr" s="18">
        <is>
          <t xml:space="preserve">Breaking jobs · Base and upside comparison · Upshift — Upside</t>
        </is>
      </c>
      <c r="B73" s="10">
        <f>('Model inputs'!B110+'Model inputs'!AB97)*'Model inputs'!AB135+'Model inputs'!B110*'Model inputs'!AB87</f>
        <v>1627.4080235153226</v>
      </c>
      <c r="D73" s="10">
        <f>('Model inputs'!D110+'Model inputs'!AB97)*'Model inputs'!AB135+'Model inputs'!D110*'Model inputs'!AB87</f>
        <v>8.333333333333334</v>
      </c>
      <c r="E73" s="10">
        <f>('Model inputs'!E110+'Model inputs'!AB97)*'Model inputs'!AB135+'Model inputs'!E110*'Model inputs'!AB87</f>
        <v>16.666666666666668</v>
      </c>
      <c r="F73" s="10">
        <f>('Model inputs'!F110+'Model inputs'!AB97)*'Model inputs'!AB135+'Model inputs'!F110*'Model inputs'!AB87</f>
        <v>25</v>
      </c>
      <c r="G73" s="10">
        <f>('Model inputs'!G110+'Model inputs'!AB97)*'Model inputs'!AB135+'Model inputs'!G110*'Model inputs'!AB87</f>
        <v>30.5</v>
      </c>
      <c r="H73" s="10">
        <f>('Model inputs'!H110+'Model inputs'!AB97)*'Model inputs'!AB135+'Model inputs'!H110*'Model inputs'!AB87</f>
        <v>37.21</v>
      </c>
      <c r="I73" s="10">
        <f>('Model inputs'!I110+'Model inputs'!AB97)*'Model inputs'!AB135+'Model inputs'!I110*'Model inputs'!AB87</f>
        <v>45.3962</v>
      </c>
      <c r="J73" s="10">
        <f>('Model inputs'!J110+'Model inputs'!AB97)*'Model inputs'!AB135+'Model inputs'!J110*'Model inputs'!AB87</f>
        <v>55.383364</v>
      </c>
      <c r="K73" s="10">
        <f>('Model inputs'!K110+'Model inputs'!AB97)*'Model inputs'!AB135+'Model inputs'!K110*'Model inputs'!AB87</f>
        <v>67.56770408000001</v>
      </c>
      <c r="L73" s="10">
        <f>('Model inputs'!L110+'Model inputs'!AB97)*'Model inputs'!AB135+'Model inputs'!L110*'Model inputs'!AB87</f>
        <v>82.43259897760001</v>
      </c>
      <c r="M73" s="10">
        <f>('Model inputs'!M110+'Model inputs'!AB97)*'Model inputs'!AB135+'Model inputs'!M110*'Model inputs'!AB87</f>
        <v>100.56777075267202</v>
      </c>
      <c r="N73" s="10">
        <f>('Model inputs'!N110+'Model inputs'!AB97)*'Model inputs'!AB135+'Model inputs'!N110*'Model inputs'!AB87</f>
        <v>122.69268031825986</v>
      </c>
      <c r="O73" s="10">
        <f>('Model inputs'!O110+'Model inputs'!AB97)*'Model inputs'!AB135+'Model inputs'!O110*'Model inputs'!AB87</f>
        <v>149.68506998827704</v>
      </c>
      <c r="P73" s="10">
        <f>('Model inputs'!P110+'Model inputs'!AB97)*'Model inputs'!AB135+'Model inputs'!P110*'Model inputs'!AB87</f>
        <v>182.615785385698</v>
      </c>
      <c r="Q73" s="10">
        <f>('Model inputs'!Q110+'Model inputs'!AB97)*'Model inputs'!AB135+'Model inputs'!Q110*'Model inputs'!AB87</f>
        <v>222.79125817055154</v>
      </c>
      <c r="R73" s="10">
        <f>('Model inputs'!R110+'Model inputs'!AB97)*'Model inputs'!AB135+'Model inputs'!R110*'Model inputs'!AB87</f>
        <v>271.8053349680729</v>
      </c>
      <c r="S73" s="10">
        <f>('Model inputs'!S110+'Model inputs'!AB97)*'Model inputs'!AB135+'Model inputs'!S110*'Model inputs'!AB87</f>
        <v>331.60250866104894</v>
      </c>
      <c r="T73" s="10">
        <f>('Model inputs'!T110+'Model inputs'!AB97)*'Model inputs'!AB135+'Model inputs'!T110*'Model inputs'!AB87</f>
        <v>404.5550605664797</v>
      </c>
      <c r="U73" s="10">
        <f>('Model inputs'!U110+'Model inputs'!AB97)*'Model inputs'!AB135+'Model inputs'!U110*'Model inputs'!AB87</f>
        <v>493.55717389110526</v>
      </c>
      <c r="V73" s="10">
        <f>('Model inputs'!V110+'Model inputs'!AB97)*'Model inputs'!AB135+'Model inputs'!V110*'Model inputs'!AB87</f>
        <v>602.1397521471483</v>
      </c>
      <c r="W73" s="10">
        <f>('Model inputs'!W110+'Model inputs'!AB97)*'Model inputs'!AB135+'Model inputs'!W110*'Model inputs'!AB87</f>
        <v>734.6104976195209</v>
      </c>
      <c r="X73" s="10">
        <f>('Model inputs'!X110+'Model inputs'!AB97)*'Model inputs'!AB135+'Model inputs'!X110*'Model inputs'!AB87</f>
        <v>896.2248070958155</v>
      </c>
      <c r="Y73" s="10">
        <f>('Model inputs'!Y110+'Model inputs'!AB97)*'Model inputs'!AB135+'Model inputs'!Y110*'Model inputs'!AB87</f>
        <v>1093.394264656895</v>
      </c>
      <c r="Z73" s="10">
        <f>('Model inputs'!Z110+'Model inputs'!AB97)*'Model inputs'!AB135+'Model inputs'!Z110*'Model inputs'!AB87</f>
        <v>1333.941002881412</v>
      </c>
      <c r="AA73" s="10">
        <v>0</v>
      </c>
    </row>
    <row r="74">
      <c r="A74" t="inlineStr" s="18">
        <is>
          <t xml:space="preserve">Breaking model cost · Inference costs · Main Scenario · Main Scenario</t>
        </is>
      </c>
      <c r="AB74" s="9">
        <f>'Model inputs'!C9</f>
        <v>2</v>
      </c>
    </row>
    <row r="75">
      <c r="A75" t="inlineStr" s="18">
        <is>
          <t xml:space="preserve">Breaking model cost · Inference costs · Upshift — Upside · Upshift — Upside</t>
        </is>
      </c>
      <c r="AB75" s="9">
        <f>'Model inputs'!C9</f>
        <v>2</v>
      </c>
    </row>
    <row r="76">
      <c r="A76" t="inlineStr" s="18">
        <is>
          <t xml:space="preserve">Business repo capacity</t>
        </is>
      </c>
      <c r="C76" s="10">
        <f>15</f>
        <v>15</v>
      </c>
    </row>
    <row r="77">
      <c r="A77" t="inlineStr" s="18">
        <is>
          <t xml:space="preserve">Business subscription price</t>
        </is>
      </c>
      <c r="C77" s="9">
        <f>399</f>
        <v>399</v>
      </c>
    </row>
    <row r="78">
      <c r="A78" t="inlineStr" s="18">
        <is>
          <t xml:space="preserve">Cash at combined stress · Cash at combined stress</t>
        </is>
      </c>
      <c r="B78" s="9">
        <f>IF('Model inputs'!B10="","",'Model inputs'!B10)</f>
        <v>15053.61494480475</v>
      </c>
      <c r="D78" s="9">
        <f>IF('Model inputs'!D10="","",'Model inputs'!D10)</f>
        <v>-220.66666666666666</v>
      </c>
      <c r="E78" s="9">
        <f>IF('Model inputs'!E10="","",'Model inputs'!E10)</f>
        <v>-362</v>
      </c>
      <c r="F78" s="9">
        <f>IF('Model inputs'!F10="","",'Model inputs'!F10)</f>
        <v>-423.9999999999999</v>
      </c>
      <c r="G78" s="9">
        <f>IF('Model inputs'!G10="","",'Model inputs'!G10)</f>
        <v>-457.4399999999998</v>
      </c>
      <c r="H78" s="9">
        <f>IF('Model inputs'!H10="","",'Model inputs'!H10)</f>
        <v>-458.89279999999974</v>
      </c>
      <c r="I78" s="9">
        <f>IF('Model inputs'!I10="","",'Model inputs'!I10)</f>
        <v>-424.5199359999997</v>
      </c>
      <c r="J78" s="9">
        <f>IF('Model inputs'!J10="","",'Model inputs'!J10)</f>
        <v>-350.0223283199997</v>
      </c>
      <c r="K78" s="9">
        <f>IF('Model inputs'!K10="","",'Model inputs'!K10)</f>
        <v>-230.58500771839965</v>
      </c>
      <c r="L78" s="9">
        <f>IF('Model inputs'!L10="","",'Model inputs'!L10)</f>
        <v>-60.81520864460782</v>
      </c>
      <c r="M78" s="9">
        <f>IF('Model inputs'!M10="","",'Model inputs'!M10)</f>
        <v>165.32696631803918</v>
      </c>
      <c r="N78" s="9">
        <f>IF('Model inputs'!N10="","",'Model inputs'!N10)</f>
        <v>454.60620227620365</v>
      </c>
      <c r="O78" s="9">
        <f>IF('Model inputs'!O10="","",'Model inputs'!O10)</f>
        <v>814.598946549348</v>
      </c>
      <c r="P78" s="9">
        <f>IF('Model inputs'!P10="","",'Model inputs'!P10)</f>
        <v>1253.7908201352698</v>
      </c>
      <c r="Q78" s="9">
        <f>IF('Model inputs'!Q10="","",'Model inputs'!Q10)</f>
        <v>1781.6857185515019</v>
      </c>
      <c r="R78" s="9">
        <f>IF('Model inputs'!R10="","",'Model inputs'!R10)</f>
        <v>2408.928004777682</v>
      </c>
      <c r="S78" s="9">
        <f>IF('Model inputs'!S10="","",'Model inputs'!S10)</f>
        <v>3147.4393653510037</v>
      </c>
      <c r="T78" s="9">
        <f>IF('Model inputs'!T10="","",'Model inputs'!T10)</f>
        <v>4010.572089193124</v>
      </c>
      <c r="U78" s="9">
        <f>IF('Model inputs'!U10="","",'Model inputs'!U10)</f>
        <v>5013.280739896299</v>
      </c>
      <c r="V78" s="9">
        <f>IF('Model inputs'!V10="","",'Model inputs'!V10)</f>
        <v>6172.314428683854</v>
      </c>
      <c r="W78" s="9">
        <f>IF('Model inputs'!W10="","",'Model inputs'!W10)</f>
        <v>7506.432160125917</v>
      </c>
      <c r="X78" s="9">
        <f>IF('Model inputs'!X10="","",'Model inputs'!X10)</f>
        <v>9036.644019341027</v>
      </c>
      <c r="Y78" s="9">
        <f>IF('Model inputs'!Y10="","",'Model inputs'!Y10)</f>
        <v>10786.48130166195</v>
      </c>
      <c r="Z78" s="9">
        <f>IF('Model inputs'!Z10="","",'Model inputs'!Z10)</f>
        <v>12782.299057861384</v>
      </c>
      <c r="AA78" s="9">
        <v>0</v>
      </c>
    </row>
    <row r="79">
      <c r="A79" t="inlineStr" s="18">
        <is>
          <t xml:space="preserve">Cash at stress migration cost · Cash at stress migration cost</t>
        </is>
      </c>
      <c r="B79" s="9">
        <f>IF('Model inputs'!B11="","",'Model inputs'!B11)</f>
        <v>33754.13170514487</v>
      </c>
      <c r="D79" s="9">
        <f>IF('Model inputs'!D11="","",'Model inputs'!D11)</f>
        <v>-154</v>
      </c>
      <c r="E79" s="9">
        <f>IF('Model inputs'!E11="","",'Model inputs'!E11)</f>
        <v>-161.99999999999994</v>
      </c>
      <c r="F79" s="9">
        <f>IF('Model inputs'!F11="","",'Model inputs'!F11)</f>
        <v>-23.99999999999983</v>
      </c>
      <c r="G79" s="9">
        <f>IF('Model inputs'!G11="","",'Model inputs'!G11)</f>
        <v>166.56000000000023</v>
      </c>
      <c r="H79" s="9">
        <f>IF('Model inputs'!H11="","",'Model inputs'!H11)</f>
        <v>415.9872000000003</v>
      </c>
      <c r="I79" s="9">
        <f>IF('Model inputs'!I11="","",'Model inputs'!I11)</f>
        <v>731.3456640000004</v>
      </c>
      <c r="J79" s="9">
        <f>IF('Model inputs'!J11="","",'Model inputs'!J11)</f>
        <v>1120.5471436800003</v>
      </c>
      <c r="K79" s="9">
        <f>IF('Model inputs'!K11="","",'Model inputs'!K11)</f>
        <v>1592.4528009216003</v>
      </c>
      <c r="L79" s="9">
        <f>IF('Model inputs'!L11="","",'Model inputs'!L11)</f>
        <v>2156.987137032192</v>
      </c>
      <c r="M79" s="9">
        <f>IF('Model inputs'!M11="","",'Model inputs'!M11)</f>
        <v>2825.265593476055</v>
      </c>
      <c r="N79" s="9">
        <f>IF('Model inputs'!N11="","",'Model inputs'!N11)</f>
        <v>3609.737464693181</v>
      </c>
      <c r="O79" s="9">
        <f>IF('Model inputs'!O11="","",'Model inputs'!O11)</f>
        <v>4524.345960456363</v>
      </c>
      <c r="P79" s="9">
        <f>IF('Model inputs'!P11="","",'Model inputs'!P11)</f>
        <v>5584.707475711127</v>
      </c>
      <c r="Q79" s="9">
        <f>IF('Model inputs'!Q11="","",'Model inputs'!Q11)</f>
        <v>6808.312372796461</v>
      </c>
      <c r="R79" s="9">
        <f>IF('Model inputs'!R11="","",'Model inputs'!R11)</f>
        <v>8214.749857532037</v>
      </c>
      <c r="S79" s="9">
        <f>IF('Model inputs'!S11="","",'Model inputs'!S11)</f>
        <v>9825.95984043588</v>
      </c>
      <c r="T79" s="9">
        <f>IF('Model inputs'!T11="","",'Model inputs'!T11)</f>
        <v>11666.515021288185</v>
      </c>
      <c r="U79" s="9">
        <f>IF('Model inputs'!U11="","",'Model inputs'!U11)</f>
        <v>13763.936823842767</v>
      </c>
      <c r="V79" s="9">
        <f>IF('Model inputs'!V11="","",'Model inputs'!V11)</f>
        <v>16149.049242703899</v>
      </c>
      <c r="W79" s="9">
        <f>IF('Model inputs'!W11="","",'Model inputs'!W11)</f>
        <v>18856.375151828368</v>
      </c>
      <c r="X79" s="9">
        <f>IF('Model inputs'!X11="","",'Model inputs'!X11)</f>
        <v>21924.58017004777</v>
      </c>
      <c r="Y79" s="9">
        <f>IF('Model inputs'!Y11="","",'Model inputs'!Y11)</f>
        <v>25396.969790453502</v>
      </c>
      <c r="Z79" s="9">
        <f>IF('Model inputs'!Z11="","",'Model inputs'!Z11)</f>
        <v>29322.046165307922</v>
      </c>
      <c r="AA79" s="9">
        <v>0</v>
      </c>
    </row>
    <row r="80">
      <c r="A80" t="inlineStr" s="18">
        <is>
          <t xml:space="preserve">Cash at stress price · Cash at stress price</t>
        </is>
      </c>
      <c r="B80" s="9">
        <f>IF('Model inputs'!B12="","",'Model inputs'!B12)</f>
        <v>17858.69245885577</v>
      </c>
      <c r="D80" s="9">
        <f>IF('Model inputs'!D12="","",'Model inputs'!D12)</f>
        <v>-210.66666666666666</v>
      </c>
      <c r="E80" s="9">
        <f>IF('Model inputs'!E12="","",'Model inputs'!E12)</f>
        <v>-331.99999999999994</v>
      </c>
      <c r="F80" s="9">
        <f>IF('Model inputs'!F12="","",'Model inputs'!F12)</f>
        <v>-363.99999999999983</v>
      </c>
      <c r="G80" s="9">
        <f>IF('Model inputs'!G12="","",'Model inputs'!G12)</f>
        <v>-363.83999999999975</v>
      </c>
      <c r="H80" s="9">
        <f>IF('Model inputs'!H12="","",'Model inputs'!H12)</f>
        <v>-327.66079999999965</v>
      </c>
      <c r="I80" s="9">
        <f>IF('Model inputs'!I12="","",'Model inputs'!I12)</f>
        <v>-251.14009599999957</v>
      </c>
      <c r="J80" s="9">
        <f>IF('Model inputs'!J12="","",'Model inputs'!J12)</f>
        <v>-129.43690751999958</v>
      </c>
      <c r="K80" s="9">
        <f>IF('Model inputs'!K12="","",'Model inputs'!K12)</f>
        <v>42.87066357760045</v>
      </c>
      <c r="L80" s="9">
        <f>IF('Model inputs'!L12="","",'Model inputs'!L12)</f>
        <v>271.8551432069123</v>
      </c>
      <c r="M80" s="9">
        <f>IF('Model inputs'!M12="","",'Model inputs'!M12)</f>
        <v>564.3177603917417</v>
      </c>
      <c r="N80" s="9">
        <f>IF('Model inputs'!N12="","",'Model inputs'!N12)</f>
        <v>927.8758916387504</v>
      </c>
      <c r="O80" s="9">
        <f>IF('Model inputs'!O12="","",'Model inputs'!O12)</f>
        <v>1371.0609986354004</v>
      </c>
      <c r="P80" s="9">
        <f>IF('Model inputs'!P12="","",'Model inputs'!P12)</f>
        <v>1903.4283184716485</v>
      </c>
      <c r="Q80" s="9">
        <f>IF('Model inputs'!Q12="","",'Model inputs'!Q12)</f>
        <v>2535.679716688246</v>
      </c>
      <c r="R80" s="9">
        <f>IF('Model inputs'!R12="","",'Model inputs'!R12)</f>
        <v>3279.8012826908353</v>
      </c>
      <c r="S80" s="9">
        <f>IF('Model inputs'!S12="","",'Model inputs'!S12)</f>
        <v>4149.217436613735</v>
      </c>
      <c r="T80" s="9">
        <f>IF('Model inputs'!T12="","",'Model inputs'!T12)</f>
        <v>5158.963529007384</v>
      </c>
      <c r="U80" s="9">
        <f>IF('Model inputs'!U12="","",'Model inputs'!U12)</f>
        <v>6325.879152488269</v>
      </c>
      <c r="V80" s="9">
        <f>IF('Model inputs'!V12="","",'Model inputs'!V12)</f>
        <v>7668.824650786861</v>
      </c>
      <c r="W80" s="9">
        <f>IF('Model inputs'!W12="","",'Model inputs'!W12)</f>
        <v>9208.923608881285</v>
      </c>
      <c r="X80" s="9">
        <f>IF('Model inputs'!X12="","",'Model inputs'!X12)</f>
        <v>10969.834441947038</v>
      </c>
      <c r="Y80" s="9">
        <f>IF('Model inputs'!Y12="","",'Model inputs'!Y12)</f>
        <v>12978.054574980682</v>
      </c>
      <c r="Z80" s="9">
        <f>IF('Model inputs'!Z12="","",'Model inputs'!Z12)</f>
        <v>15263.261123978366</v>
      </c>
      <c r="AA80" s="9">
        <v>0</v>
      </c>
    </row>
    <row r="81">
      <c r="A81" t="inlineStr" s="18">
        <is>
          <t xml:space="preserve">Churned repositories · Base and upside comparison · Main Scenario</t>
        </is>
      </c>
      <c r="B81" s="10">
        <f>IF('Model inputs'!B14="","",'Model inputs'!B14)</f>
        <v>2.8938879279824796</v>
      </c>
      <c r="D81" s="10">
        <f>IF('Model inputs'!D14="","",'Model inputs'!D14)</f>
        <v>0</v>
      </c>
      <c r="E81" s="10">
        <f>IF('Model inputs'!E14="","",'Model inputs'!E14)</f>
        <v>0.1</v>
      </c>
      <c r="F81" s="10">
        <f>IF('Model inputs'!F14="","",'Model inputs'!F14)</f>
        <v>0.20000000000000004</v>
      </c>
      <c r="G81" s="10">
        <f>IF('Model inputs'!G14="","",'Model inputs'!G14)</f>
        <v>0.30000000000000004</v>
      </c>
      <c r="H81" s="10">
        <f>IF('Model inputs'!H14="","",'Model inputs'!H14)</f>
        <v>0.336</v>
      </c>
      <c r="I81" s="10">
        <f>IF('Model inputs'!I14="","",'Model inputs'!I14)</f>
        <v>0.37632</v>
      </c>
      <c r="J81" s="10">
        <f>IF('Model inputs'!J14="","",'Model inputs'!J14)</f>
        <v>0.42147840000000003</v>
      </c>
      <c r="K81" s="10">
        <f>IF('Model inputs'!K14="","",'Model inputs'!K14)</f>
        <v>0.472055808</v>
      </c>
      <c r="L81" s="10">
        <f>IF('Model inputs'!L14="","",'Model inputs'!L14)</f>
        <v>0.52870250496</v>
      </c>
      <c r="M81" s="10">
        <f>IF('Model inputs'!M14="","",'Model inputs'!M14)</f>
        <v>0.5921468055551998</v>
      </c>
      <c r="N81" s="10">
        <f>IF('Model inputs'!N14="","",'Model inputs'!N14)</f>
        <v>0.6632044222218239</v>
      </c>
      <c r="O81" s="10">
        <f>IF('Model inputs'!O14="","",'Model inputs'!O14)</f>
        <v>0.7427889528884427</v>
      </c>
      <c r="P81" s="10">
        <f>IF('Model inputs'!P14="","",'Model inputs'!P14)</f>
        <v>0.8319236272350559</v>
      </c>
      <c r="Q81" s="10">
        <f>IF('Model inputs'!Q14="","",'Model inputs'!Q14)</f>
        <v>0.9317544625032625</v>
      </c>
      <c r="R81" s="10">
        <f>IF('Model inputs'!R14="","",'Model inputs'!R14)</f>
        <v>1.043564998003654</v>
      </c>
      <c r="S81" s="10">
        <f>IF('Model inputs'!S14="","",'Model inputs'!S14)</f>
        <v>1.1687927977640926</v>
      </c>
      <c r="T81" s="10">
        <f>IF('Model inputs'!T14="","",'Model inputs'!T14)</f>
        <v>1.3090479334957836</v>
      </c>
      <c r="U81" s="10">
        <f>IF('Model inputs'!U14="","",'Model inputs'!U14)</f>
        <v>1.4661336855152778</v>
      </c>
      <c r="V81" s="10">
        <f>IF('Model inputs'!V14="","",'Model inputs'!V14)</f>
        <v>1.642069727777111</v>
      </c>
      <c r="W81" s="10">
        <f>IF('Model inputs'!W14="","",'Model inputs'!W14)</f>
        <v>1.8391180951103643</v>
      </c>
      <c r="X81" s="10">
        <f>IF('Model inputs'!X14="","",'Model inputs'!X14)</f>
        <v>2.059812266523608</v>
      </c>
      <c r="Y81" s="10">
        <f>IF('Model inputs'!Y14="","",'Model inputs'!Y14)</f>
        <v>2.306989738506441</v>
      </c>
      <c r="Z81" s="10">
        <f>IF('Model inputs'!Z14="","",'Model inputs'!Z14)</f>
        <v>2.583828507127214</v>
      </c>
      <c r="AA81" s="10">
        <v>0</v>
      </c>
    </row>
    <row r="82">
      <c r="A82" t="inlineStr" s="18">
        <is>
          <t xml:space="preserve">Cost of revenue · Base and upside comparison · Main Scenario</t>
        </is>
      </c>
      <c r="B82" s="9">
        <f>'Model inputs'!B33+'Model inputs'!B17+'Model inputs'!B19+'Model inputs'!B52</f>
        <v>237.68466181829433</v>
      </c>
      <c r="D82" s="9">
        <f>'Model inputs'!D33+'Model inputs'!D17+'Model inputs'!D19+'Model inputs'!D52</f>
        <v>7.333333333333334</v>
      </c>
      <c r="E82" s="9">
        <f>'Model inputs'!E33+'Model inputs'!E17+'Model inputs'!E19+'Model inputs'!E52</f>
        <v>14.666666666666668</v>
      </c>
      <c r="F82" s="9">
        <f>'Model inputs'!F33+'Model inputs'!F17+'Model inputs'!F19+'Model inputs'!F52</f>
        <v>22.000000000000004</v>
      </c>
      <c r="G82" s="9">
        <f>'Model inputs'!G33+'Model inputs'!G17+'Model inputs'!G19+'Model inputs'!G52</f>
        <v>24.640000000000004</v>
      </c>
      <c r="H82" s="9">
        <f>'Model inputs'!H33+'Model inputs'!H17+'Model inputs'!H19+'Model inputs'!H52</f>
        <v>27.596799999999998</v>
      </c>
      <c r="I82" s="9">
        <f>'Model inputs'!I33+'Model inputs'!I17+'Model inputs'!I19+'Model inputs'!I52</f>
        <v>30.908416000000003</v>
      </c>
      <c r="J82" s="9">
        <f>'Model inputs'!J33+'Model inputs'!J17+'Model inputs'!J19+'Model inputs'!J52</f>
        <v>34.61742592</v>
      </c>
      <c r="K82" s="9">
        <f>'Model inputs'!K33+'Model inputs'!K17+'Model inputs'!K19+'Model inputs'!K52</f>
        <v>38.771517030400005</v>
      </c>
      <c r="L82" s="9">
        <f>'Model inputs'!L33+'Model inputs'!L17+'Model inputs'!L19+'Model inputs'!L52</f>
        <v>43.424099074047994</v>
      </c>
      <c r="M82" s="9">
        <f>'Model inputs'!M33+'Model inputs'!M17+'Model inputs'!M19+'Model inputs'!M52</f>
        <v>48.634990962933756</v>
      </c>
      <c r="N82" s="9">
        <f>'Model inputs'!N33+'Model inputs'!N17+'Model inputs'!N19+'Model inputs'!N52</f>
        <v>54.4711898784858</v>
      </c>
      <c r="O82" s="9">
        <f>'Model inputs'!O33+'Model inputs'!O17+'Model inputs'!O19+'Model inputs'!O52</f>
        <v>61.0077326639041</v>
      </c>
      <c r="P82" s="9">
        <f>'Model inputs'!P33+'Model inputs'!P17+'Model inputs'!P19+'Model inputs'!P52</f>
        <v>68.3286605835726</v>
      </c>
      <c r="Q82" s="9">
        <f>'Model inputs'!Q33+'Model inputs'!Q17+'Model inputs'!Q19+'Model inputs'!Q52</f>
        <v>76.52809985360129</v>
      </c>
      <c r="R82" s="9">
        <f>'Model inputs'!R33+'Model inputs'!R17+'Model inputs'!R19+'Model inputs'!R52</f>
        <v>85.71147183603347</v>
      </c>
      <c r="S82" s="9">
        <f>'Model inputs'!S33+'Model inputs'!S17+'Model inputs'!S19+'Model inputs'!S52</f>
        <v>95.99684845635747</v>
      </c>
      <c r="T82" s="9">
        <f>'Model inputs'!T33+'Model inputs'!T17+'Model inputs'!T19+'Model inputs'!T52</f>
        <v>107.51647027112038</v>
      </c>
      <c r="U82" s="9">
        <f>'Model inputs'!U33+'Model inputs'!U17+'Model inputs'!U19+'Model inputs'!U52</f>
        <v>120.41844670365481</v>
      </c>
      <c r="V82" s="9">
        <f>'Model inputs'!V33+'Model inputs'!V17+'Model inputs'!V19+'Model inputs'!V52</f>
        <v>134.86866030809338</v>
      </c>
      <c r="W82" s="9">
        <f>'Model inputs'!W33+'Model inputs'!W17+'Model inputs'!W19+'Model inputs'!W52</f>
        <v>151.0528995450646</v>
      </c>
      <c r="X82" s="9">
        <f>'Model inputs'!X33+'Model inputs'!X17+'Model inputs'!X19+'Model inputs'!X52</f>
        <v>169.17924749047233</v>
      </c>
      <c r="Y82" s="9">
        <f>'Model inputs'!Y33+'Model inputs'!Y17+'Model inputs'!Y19+'Model inputs'!Y52</f>
        <v>189.480757189329</v>
      </c>
      <c r="Z82" s="9">
        <f>'Model inputs'!Z33+'Model inputs'!Z17+'Model inputs'!Z19+'Model inputs'!Z52</f>
        <v>212.21844805204853</v>
      </c>
      <c r="AA82" s="9">
        <v>0</v>
      </c>
    </row>
    <row r="83">
      <c r="A83" t="inlineStr" s="18">
        <is>
          <t xml:space="preserve">Cost of revenue · Base and upside comparison · Upshift — Upside</t>
        </is>
      </c>
      <c r="B83" s="9">
        <f>'Model inputs'!B34+'Model inputs'!B18+'Model inputs'!B20+'Model inputs'!B53</f>
        <v>3580.2976517337097</v>
      </c>
      <c r="D83" s="9">
        <f>'Model inputs'!D34+'Model inputs'!D18+'Model inputs'!D20+'Model inputs'!D53</f>
        <v>18.333333333333336</v>
      </c>
      <c r="E83" s="9">
        <f>'Model inputs'!E34+'Model inputs'!E18+'Model inputs'!E20+'Model inputs'!E53</f>
        <v>36.66666666666667</v>
      </c>
      <c r="F83" s="9">
        <f>'Model inputs'!F34+'Model inputs'!F18+'Model inputs'!F20+'Model inputs'!F53</f>
        <v>55</v>
      </c>
      <c r="G83" s="9">
        <f>'Model inputs'!G34+'Model inputs'!G18+'Model inputs'!G20+'Model inputs'!G53</f>
        <v>67.1</v>
      </c>
      <c r="H83" s="9">
        <f>'Model inputs'!H34+'Model inputs'!H18+'Model inputs'!H20+'Model inputs'!H53</f>
        <v>81.86200000000001</v>
      </c>
      <c r="I83" s="9">
        <f>'Model inputs'!I34+'Model inputs'!I18+'Model inputs'!I20+'Model inputs'!I53</f>
        <v>99.87164</v>
      </c>
      <c r="J83" s="9">
        <f>'Model inputs'!J34+'Model inputs'!J18+'Model inputs'!J20+'Model inputs'!J53</f>
        <v>121.8434008</v>
      </c>
      <c r="K83" s="9">
        <f>'Model inputs'!K34+'Model inputs'!K18+'Model inputs'!K20+'Model inputs'!K53</f>
        <v>148.648948976</v>
      </c>
      <c r="L83" s="9">
        <f>'Model inputs'!L34+'Model inputs'!L18+'Model inputs'!L20+'Model inputs'!L53</f>
        <v>181.35171775072</v>
      </c>
      <c r="M83" s="9">
        <f>'Model inputs'!M34+'Model inputs'!M18+'Model inputs'!M20+'Model inputs'!M53</f>
        <v>221.24909565587842</v>
      </c>
      <c r="N83" s="9">
        <f>'Model inputs'!N34+'Model inputs'!N18+'Model inputs'!N20+'Model inputs'!N53</f>
        <v>269.9238967001717</v>
      </c>
      <c r="O83" s="9">
        <f>'Model inputs'!O34+'Model inputs'!O18+'Model inputs'!O20+'Model inputs'!O53</f>
        <v>329.3071539742095</v>
      </c>
      <c r="P83" s="9">
        <f>'Model inputs'!P34+'Model inputs'!P18+'Model inputs'!P20+'Model inputs'!P53</f>
        <v>401.7547278485356</v>
      </c>
      <c r="Q83" s="9">
        <f>'Model inputs'!Q34+'Model inputs'!Q18+'Model inputs'!Q20+'Model inputs'!Q53</f>
        <v>490.1407679752134</v>
      </c>
      <c r="R83" s="9">
        <f>'Model inputs'!R34+'Model inputs'!R18+'Model inputs'!R20+'Model inputs'!R53</f>
        <v>597.9717369297603</v>
      </c>
      <c r="S83" s="9">
        <f>'Model inputs'!S34+'Model inputs'!S18+'Model inputs'!S20+'Model inputs'!S53</f>
        <v>729.5255190543077</v>
      </c>
      <c r="T83" s="9">
        <f>'Model inputs'!T34+'Model inputs'!T18+'Model inputs'!T20+'Model inputs'!T53</f>
        <v>890.0211332462553</v>
      </c>
      <c r="U83" s="9">
        <f>'Model inputs'!U34+'Model inputs'!U18+'Model inputs'!U20+'Model inputs'!U53</f>
        <v>1085.8257825604317</v>
      </c>
      <c r="V83" s="9">
        <f>'Model inputs'!V34+'Model inputs'!V18+'Model inputs'!V20+'Model inputs'!V53</f>
        <v>1324.7074547237264</v>
      </c>
      <c r="W83" s="9">
        <f>'Model inputs'!W34+'Model inputs'!W18+'Model inputs'!W20+'Model inputs'!W53</f>
        <v>1616.1430947629458</v>
      </c>
      <c r="X83" s="9">
        <f>'Model inputs'!X34+'Model inputs'!X18+'Model inputs'!X20+'Model inputs'!X53</f>
        <v>1971.6945756107941</v>
      </c>
      <c r="Y83" s="9">
        <f>'Model inputs'!Y34+'Model inputs'!Y18+'Model inputs'!Y20+'Model inputs'!Y53</f>
        <v>2405.467382245169</v>
      </c>
      <c r="Z83" s="9">
        <f>'Model inputs'!Z34+'Model inputs'!Z18+'Model inputs'!Z20+'Model inputs'!Z53</f>
        <v>2934.6702063391067</v>
      </c>
      <c r="AA83" s="9">
        <v>0</v>
      </c>
    </row>
    <row r="84">
      <c r="A84" t="inlineStr" s="18">
        <is>
          <t xml:space="preserve">Extra migration price · Overage revenue · Base and upside comparison · Main Scenario · Main Scenario</t>
        </is>
      </c>
      <c r="AB84" s="9">
        <f>15</f>
        <v>15</v>
      </c>
    </row>
    <row r="85">
      <c r="A85" t="inlineStr" s="18">
        <is>
          <t xml:space="preserve">Extra migration price · Overage revenue · Upshift — Upside · Upshift — Upside</t>
        </is>
      </c>
      <c r="AB85" s="9">
        <f>'Model inputs'!AB84</f>
        <v>15</v>
      </c>
    </row>
    <row r="86">
      <c r="A86" t="inlineStr" s="18">
        <is>
          <t xml:space="preserve">Extra migrations per paid repo · Overage revenue · Base and upside comparison · Main Scenario · Main Scenario</t>
        </is>
      </c>
      <c r="AB86" s="10">
        <f>0</f>
        <v>0</v>
      </c>
    </row>
    <row r="87">
      <c r="A87" t="inlineStr" s="18">
        <is>
          <t xml:space="preserve">Extra migrations per paid repo · Overage revenue · Upshift — Upside · Upshift — Upside</t>
        </is>
      </c>
      <c r="AB87" s="10">
        <f>'Model inputs'!AB86</f>
        <v>0</v>
      </c>
    </row>
    <row r="88">
      <c r="A88" t="inlineStr" s="18">
        <is>
          <t xml:space="preserve">Fixed operating costs</t>
        </is>
      </c>
      <c r="B88" s="14">
        <f>IF('Model inputs'!B21="","",'Model inputs'!B21)</f>
        <v>300</v>
      </c>
      <c r="D88" s="14">
        <f>IF('Model inputs'!D21="","",'Model inputs'!D21)</f>
        <v>300</v>
      </c>
      <c r="E88" s="14">
        <f>IF('Model inputs'!E21="","",'Model inputs'!E21)</f>
        <v>300</v>
      </c>
      <c r="F88" s="14">
        <f>IF('Model inputs'!F21="","",'Model inputs'!F21)</f>
        <v>300</v>
      </c>
      <c r="G88" s="14">
        <f>IF('Model inputs'!G21="","",'Model inputs'!G21)</f>
        <v>300</v>
      </c>
      <c r="H88" s="14">
        <f>IF('Model inputs'!H21="","",'Model inputs'!H21)</f>
        <v>300</v>
      </c>
      <c r="I88" s="14">
        <f>IF('Model inputs'!I21="","",'Model inputs'!I21)</f>
        <v>300</v>
      </c>
      <c r="J88" s="14">
        <f>IF('Model inputs'!J21="","",'Model inputs'!J21)</f>
        <v>300</v>
      </c>
      <c r="K88" s="14">
        <f>IF('Model inputs'!K21="","",'Model inputs'!K21)</f>
        <v>300</v>
      </c>
      <c r="L88" s="14">
        <f>IF('Model inputs'!L21="","",'Model inputs'!L21)</f>
        <v>300</v>
      </c>
      <c r="M88" s="14">
        <f>IF('Model inputs'!M21="","",'Model inputs'!M21)</f>
        <v>300</v>
      </c>
      <c r="N88" s="14">
        <f>IF('Model inputs'!N21="","",'Model inputs'!N21)</f>
        <v>300</v>
      </c>
      <c r="O88" s="14">
        <f>IF('Model inputs'!O21="","",'Model inputs'!O21)</f>
        <v>300</v>
      </c>
      <c r="P88" s="14">
        <f>IF('Model inputs'!P21="","",'Model inputs'!P21)</f>
        <v>300</v>
      </c>
      <c r="Q88" s="14">
        <f>IF('Model inputs'!Q21="","",'Model inputs'!Q21)</f>
        <v>300</v>
      </c>
      <c r="R88" s="14">
        <f>IF('Model inputs'!R21="","",'Model inputs'!R21)</f>
        <v>300</v>
      </c>
      <c r="S88" s="14">
        <f>IF('Model inputs'!S21="","",'Model inputs'!S21)</f>
        <v>300</v>
      </c>
      <c r="T88" s="14">
        <f>IF('Model inputs'!T21="","",'Model inputs'!T21)</f>
        <v>300</v>
      </c>
      <c r="U88" s="14">
        <f>IF('Model inputs'!U21="","",'Model inputs'!U21)</f>
        <v>300</v>
      </c>
      <c r="V88" s="14">
        <f>IF('Model inputs'!V21="","",'Model inputs'!V21)</f>
        <v>300</v>
      </c>
      <c r="W88" s="14">
        <f>IF('Model inputs'!W21="","",'Model inputs'!W21)</f>
        <v>300</v>
      </c>
      <c r="X88" s="14">
        <f>IF('Model inputs'!X21="","",'Model inputs'!X21)</f>
        <v>300</v>
      </c>
      <c r="Y88" s="14">
        <f>IF('Model inputs'!Y21="","",'Model inputs'!Y21)</f>
        <v>300</v>
      </c>
      <c r="Z88" s="14">
        <f>IF('Model inputs'!Z21="","",'Model inputs'!Z21)</f>
        <v>300</v>
      </c>
      <c r="AA88" s="14">
        <f>IF('Model inputs'!AA21="","",'Model inputs'!AA21)</f>
        <v>0</v>
      </c>
    </row>
    <row r="89" outlineLevel="1">
      <c r="A89" t="inlineStr" s="19">
        <is>
          <t xml:space="preserve">Fixed operating costs &gt; Hosting and runners</t>
        </is>
      </c>
      <c r="B89" s="9">
        <f>IF('Model inputs'!C39="","",'Model inputs'!C39)</f>
        <v>150</v>
      </c>
      <c r="D89" s="9">
        <f>IF('Model inputs'!C39="","",'Model inputs'!C39)</f>
        <v>150</v>
      </c>
      <c r="E89" s="9">
        <f>IF('Model inputs'!C39="","",'Model inputs'!C39)</f>
        <v>150</v>
      </c>
      <c r="F89" s="9">
        <f>IF('Model inputs'!C39="","",'Model inputs'!C39)</f>
        <v>150</v>
      </c>
      <c r="G89" s="9">
        <f>IF('Model inputs'!C39="","",'Model inputs'!C39)</f>
        <v>150</v>
      </c>
      <c r="H89" s="9">
        <f>IF('Model inputs'!C39="","",'Model inputs'!C39)</f>
        <v>150</v>
      </c>
      <c r="I89" s="9">
        <f>IF('Model inputs'!C39="","",'Model inputs'!C39)</f>
        <v>150</v>
      </c>
      <c r="J89" s="9">
        <f>IF('Model inputs'!C39="","",'Model inputs'!C39)</f>
        <v>150</v>
      </c>
      <c r="K89" s="9">
        <f>IF('Model inputs'!C39="","",'Model inputs'!C39)</f>
        <v>150</v>
      </c>
      <c r="L89" s="9">
        <f>IF('Model inputs'!C39="","",'Model inputs'!C39)</f>
        <v>150</v>
      </c>
      <c r="M89" s="9">
        <f>IF('Model inputs'!C39="","",'Model inputs'!C39)</f>
        <v>150</v>
      </c>
      <c r="N89" s="9">
        <f>IF('Model inputs'!C39="","",'Model inputs'!C39)</f>
        <v>150</v>
      </c>
      <c r="O89" s="9">
        <f>IF('Model inputs'!C39="","",'Model inputs'!C39)</f>
        <v>150</v>
      </c>
      <c r="P89" s="9">
        <f>IF('Model inputs'!C39="","",'Model inputs'!C39)</f>
        <v>150</v>
      </c>
      <c r="Q89" s="9">
        <f>IF('Model inputs'!C39="","",'Model inputs'!C39)</f>
        <v>150</v>
      </c>
      <c r="R89" s="9">
        <f>IF('Model inputs'!C39="","",'Model inputs'!C39)</f>
        <v>150</v>
      </c>
      <c r="S89" s="9">
        <f>IF('Model inputs'!C39="","",'Model inputs'!C39)</f>
        <v>150</v>
      </c>
      <c r="T89" s="9">
        <f>IF('Model inputs'!C39="","",'Model inputs'!C39)</f>
        <v>150</v>
      </c>
      <c r="U89" s="9">
        <f>IF('Model inputs'!C39="","",'Model inputs'!C39)</f>
        <v>150</v>
      </c>
      <c r="V89" s="9">
        <f>IF('Model inputs'!C39="","",'Model inputs'!C39)</f>
        <v>150</v>
      </c>
      <c r="W89" s="9">
        <f>IF('Model inputs'!C39="","",'Model inputs'!C39)</f>
        <v>150</v>
      </c>
      <c r="X89" s="9">
        <f>IF('Model inputs'!C39="","",'Model inputs'!C39)</f>
        <v>150</v>
      </c>
      <c r="Y89" s="9">
        <f>IF('Model inputs'!C39="","",'Model inputs'!C39)</f>
        <v>150</v>
      </c>
      <c r="Z89" s="9">
        <f>IF('Model inputs'!C39="","",'Model inputs'!C39)</f>
        <v>150</v>
      </c>
      <c r="AA89" s="9">
        <f>0</f>
        <v>0</v>
      </c>
    </row>
    <row r="90" outlineLevel="1">
      <c r="A90" t="inlineStr" s="19">
        <is>
          <t xml:space="preserve">Fixed operating costs &gt; Observability — neatlogs</t>
        </is>
      </c>
      <c r="B90" s="9">
        <f>IF('Model inputs'!C40="","",'Model inputs'!C40)</f>
        <v>50</v>
      </c>
      <c r="D90" s="9">
        <f>IF('Model inputs'!C40="","",'Model inputs'!C40)</f>
        <v>50</v>
      </c>
      <c r="E90" s="9">
        <f>IF('Model inputs'!C40="","",'Model inputs'!C40)</f>
        <v>50</v>
      </c>
      <c r="F90" s="9">
        <f>IF('Model inputs'!C40="","",'Model inputs'!C40)</f>
        <v>50</v>
      </c>
      <c r="G90" s="9">
        <f>IF('Model inputs'!C40="","",'Model inputs'!C40)</f>
        <v>50</v>
      </c>
      <c r="H90" s="9">
        <f>IF('Model inputs'!C40="","",'Model inputs'!C40)</f>
        <v>50</v>
      </c>
      <c r="I90" s="9">
        <f>IF('Model inputs'!C40="","",'Model inputs'!C40)</f>
        <v>50</v>
      </c>
      <c r="J90" s="9">
        <f>IF('Model inputs'!C40="","",'Model inputs'!C40)</f>
        <v>50</v>
      </c>
      <c r="K90" s="9">
        <f>IF('Model inputs'!C40="","",'Model inputs'!C40)</f>
        <v>50</v>
      </c>
      <c r="L90" s="9">
        <f>IF('Model inputs'!C40="","",'Model inputs'!C40)</f>
        <v>50</v>
      </c>
      <c r="M90" s="9">
        <f>IF('Model inputs'!C40="","",'Model inputs'!C40)</f>
        <v>50</v>
      </c>
      <c r="N90" s="9">
        <f>IF('Model inputs'!C40="","",'Model inputs'!C40)</f>
        <v>50</v>
      </c>
      <c r="O90" s="9">
        <f>IF('Model inputs'!C40="","",'Model inputs'!C40)</f>
        <v>50</v>
      </c>
      <c r="P90" s="9">
        <f>IF('Model inputs'!C40="","",'Model inputs'!C40)</f>
        <v>50</v>
      </c>
      <c r="Q90" s="9">
        <f>IF('Model inputs'!C40="","",'Model inputs'!C40)</f>
        <v>50</v>
      </c>
      <c r="R90" s="9">
        <f>IF('Model inputs'!C40="","",'Model inputs'!C40)</f>
        <v>50</v>
      </c>
      <c r="S90" s="9">
        <f>IF('Model inputs'!C40="","",'Model inputs'!C40)</f>
        <v>50</v>
      </c>
      <c r="T90" s="9">
        <f>IF('Model inputs'!C40="","",'Model inputs'!C40)</f>
        <v>50</v>
      </c>
      <c r="U90" s="9">
        <f>IF('Model inputs'!C40="","",'Model inputs'!C40)</f>
        <v>50</v>
      </c>
      <c r="V90" s="9">
        <f>IF('Model inputs'!C40="","",'Model inputs'!C40)</f>
        <v>50</v>
      </c>
      <c r="W90" s="9">
        <f>IF('Model inputs'!C40="","",'Model inputs'!C40)</f>
        <v>50</v>
      </c>
      <c r="X90" s="9">
        <f>IF('Model inputs'!C40="","",'Model inputs'!C40)</f>
        <v>50</v>
      </c>
      <c r="Y90" s="9">
        <f>IF('Model inputs'!C40="","",'Model inputs'!C40)</f>
        <v>50</v>
      </c>
      <c r="Z90" s="9">
        <f>IF('Model inputs'!C40="","",'Model inputs'!C40)</f>
        <v>50</v>
      </c>
      <c r="AA90" s="9">
        <f>0</f>
        <v>0</v>
      </c>
    </row>
    <row r="91" outlineLevel="1">
      <c r="A91" t="inlineStr" s="19">
        <is>
          <t xml:space="preserve">Fixed operating costs &gt; Other tools</t>
        </is>
      </c>
      <c r="B91" s="9">
        <f>IF('Model inputs'!C41="","",'Model inputs'!C41)</f>
        <v>100</v>
      </c>
      <c r="D91" s="9">
        <f>IF('Model inputs'!C41="","",'Model inputs'!C41)</f>
        <v>100</v>
      </c>
      <c r="E91" s="9">
        <f>IF('Model inputs'!C41="","",'Model inputs'!C41)</f>
        <v>100</v>
      </c>
      <c r="F91" s="9">
        <f>IF('Model inputs'!C41="","",'Model inputs'!C41)</f>
        <v>100</v>
      </c>
      <c r="G91" s="9">
        <f>IF('Model inputs'!C41="","",'Model inputs'!C41)</f>
        <v>100</v>
      </c>
      <c r="H91" s="9">
        <f>IF('Model inputs'!C41="","",'Model inputs'!C41)</f>
        <v>100</v>
      </c>
      <c r="I91" s="9">
        <f>IF('Model inputs'!C41="","",'Model inputs'!C41)</f>
        <v>100</v>
      </c>
      <c r="J91" s="9">
        <f>IF('Model inputs'!C41="","",'Model inputs'!C41)</f>
        <v>100</v>
      </c>
      <c r="K91" s="9">
        <f>IF('Model inputs'!C41="","",'Model inputs'!C41)</f>
        <v>100</v>
      </c>
      <c r="L91" s="9">
        <f>IF('Model inputs'!C41="","",'Model inputs'!C41)</f>
        <v>100</v>
      </c>
      <c r="M91" s="9">
        <f>IF('Model inputs'!C41="","",'Model inputs'!C41)</f>
        <v>100</v>
      </c>
      <c r="N91" s="9">
        <f>IF('Model inputs'!C41="","",'Model inputs'!C41)</f>
        <v>100</v>
      </c>
      <c r="O91" s="9">
        <f>IF('Model inputs'!C41="","",'Model inputs'!C41)</f>
        <v>100</v>
      </c>
      <c r="P91" s="9">
        <f>IF('Model inputs'!C41="","",'Model inputs'!C41)</f>
        <v>100</v>
      </c>
      <c r="Q91" s="9">
        <f>IF('Model inputs'!C41="","",'Model inputs'!C41)</f>
        <v>100</v>
      </c>
      <c r="R91" s="9">
        <f>IF('Model inputs'!C41="","",'Model inputs'!C41)</f>
        <v>100</v>
      </c>
      <c r="S91" s="9">
        <f>IF('Model inputs'!C41="","",'Model inputs'!C41)</f>
        <v>100</v>
      </c>
      <c r="T91" s="9">
        <f>IF('Model inputs'!C41="","",'Model inputs'!C41)</f>
        <v>100</v>
      </c>
      <c r="U91" s="9">
        <f>IF('Model inputs'!C41="","",'Model inputs'!C41)</f>
        <v>100</v>
      </c>
      <c r="V91" s="9">
        <f>IF('Model inputs'!C41="","",'Model inputs'!C41)</f>
        <v>100</v>
      </c>
      <c r="W91" s="9">
        <f>IF('Model inputs'!C41="","",'Model inputs'!C41)</f>
        <v>100</v>
      </c>
      <c r="X91" s="9">
        <f>IF('Model inputs'!C41="","",'Model inputs'!C41)</f>
        <v>100</v>
      </c>
      <c r="Y91" s="9">
        <f>IF('Model inputs'!C41="","",'Model inputs'!C41)</f>
        <v>100</v>
      </c>
      <c r="Z91" s="9">
        <f>IF('Model inputs'!C41="","",'Model inputs'!C41)</f>
        <v>100</v>
      </c>
      <c r="AA91" s="9">
        <f>0</f>
        <v>0</v>
      </c>
    </row>
    <row r="92">
      <c r="A92" t="inlineStr" s="18">
        <is>
          <t xml:space="preserve">Fixed operating costs</t>
        </is>
      </c>
      <c r="B92" s="14">
        <f>IF('Model inputs'!B22="","",'Model inputs'!B22)</f>
        <v>300</v>
      </c>
      <c r="D92" s="14">
        <f>IF('Model inputs'!D22="","",'Model inputs'!D22)</f>
        <v>300</v>
      </c>
      <c r="E92" s="14">
        <f>IF('Model inputs'!E22="","",'Model inputs'!E22)</f>
        <v>300</v>
      </c>
      <c r="F92" s="14">
        <f>IF('Model inputs'!F22="","",'Model inputs'!F22)</f>
        <v>300</v>
      </c>
      <c r="G92" s="14">
        <f>IF('Model inputs'!G22="","",'Model inputs'!G22)</f>
        <v>300</v>
      </c>
      <c r="H92" s="14">
        <f>IF('Model inputs'!H22="","",'Model inputs'!H22)</f>
        <v>300</v>
      </c>
      <c r="I92" s="14">
        <f>IF('Model inputs'!I22="","",'Model inputs'!I22)</f>
        <v>300</v>
      </c>
      <c r="J92" s="14">
        <f>IF('Model inputs'!J22="","",'Model inputs'!J22)</f>
        <v>300</v>
      </c>
      <c r="K92" s="14">
        <f>IF('Model inputs'!K22="","",'Model inputs'!K22)</f>
        <v>300</v>
      </c>
      <c r="L92" s="14">
        <f>IF('Model inputs'!L22="","",'Model inputs'!L22)</f>
        <v>300</v>
      </c>
      <c r="M92" s="14">
        <f>IF('Model inputs'!M22="","",'Model inputs'!M22)</f>
        <v>300</v>
      </c>
      <c r="N92" s="14">
        <f>IF('Model inputs'!N22="","",'Model inputs'!N22)</f>
        <v>300</v>
      </c>
      <c r="O92" s="14">
        <f>IF('Model inputs'!O22="","",'Model inputs'!O22)</f>
        <v>300</v>
      </c>
      <c r="P92" s="14">
        <f>IF('Model inputs'!P22="","",'Model inputs'!P22)</f>
        <v>300</v>
      </c>
      <c r="Q92" s="14">
        <f>IF('Model inputs'!Q22="","",'Model inputs'!Q22)</f>
        <v>300</v>
      </c>
      <c r="R92" s="14">
        <f>IF('Model inputs'!R22="","",'Model inputs'!R22)</f>
        <v>300</v>
      </c>
      <c r="S92" s="14">
        <f>IF('Model inputs'!S22="","",'Model inputs'!S22)</f>
        <v>300</v>
      </c>
      <c r="T92" s="14">
        <f>IF('Model inputs'!T22="","",'Model inputs'!T22)</f>
        <v>300</v>
      </c>
      <c r="U92" s="14">
        <f>IF('Model inputs'!U22="","",'Model inputs'!U22)</f>
        <v>300</v>
      </c>
      <c r="V92" s="14">
        <f>IF('Model inputs'!V22="","",'Model inputs'!V22)</f>
        <v>300</v>
      </c>
      <c r="W92" s="14">
        <f>IF('Model inputs'!W22="","",'Model inputs'!W22)</f>
        <v>300</v>
      </c>
      <c r="X92" s="14">
        <f>IF('Model inputs'!X22="","",'Model inputs'!X22)</f>
        <v>300</v>
      </c>
      <c r="Y92" s="14">
        <f>IF('Model inputs'!Y22="","",'Model inputs'!Y22)</f>
        <v>300</v>
      </c>
      <c r="Z92" s="14">
        <f>IF('Model inputs'!Z22="","",'Model inputs'!Z22)</f>
        <v>300</v>
      </c>
      <c r="AA92" s="14">
        <f>IF('Model inputs'!AA22="","",'Model inputs'!AA22)</f>
        <v>0</v>
      </c>
    </row>
    <row r="93" outlineLevel="1">
      <c r="A93" t="inlineStr" s="19">
        <is>
          <t xml:space="preserve">Fixed operating costs &gt; Hosting and runners</t>
        </is>
      </c>
      <c r="B93" s="9">
        <f>IF('Model inputs'!AB152="","",'Model inputs'!AB152)</f>
        <v>150</v>
      </c>
      <c r="D93" s="9">
        <f>IF('Model inputs'!AB152="","",'Model inputs'!AB152)</f>
        <v>150</v>
      </c>
      <c r="E93" s="9">
        <f>IF('Model inputs'!AB152="","",'Model inputs'!AB152)</f>
        <v>150</v>
      </c>
      <c r="F93" s="9">
        <f>IF('Model inputs'!AB152="","",'Model inputs'!AB152)</f>
        <v>150</v>
      </c>
      <c r="G93" s="9">
        <f>IF('Model inputs'!AB152="","",'Model inputs'!AB152)</f>
        <v>150</v>
      </c>
      <c r="H93" s="9">
        <f>IF('Model inputs'!AB152="","",'Model inputs'!AB152)</f>
        <v>150</v>
      </c>
      <c r="I93" s="9">
        <f>IF('Model inputs'!AB152="","",'Model inputs'!AB152)</f>
        <v>150</v>
      </c>
      <c r="J93" s="9">
        <f>IF('Model inputs'!AB152="","",'Model inputs'!AB152)</f>
        <v>150</v>
      </c>
      <c r="K93" s="9">
        <f>IF('Model inputs'!AB152="","",'Model inputs'!AB152)</f>
        <v>150</v>
      </c>
      <c r="L93" s="9">
        <f>IF('Model inputs'!AB152="","",'Model inputs'!AB152)</f>
        <v>150</v>
      </c>
      <c r="M93" s="9">
        <f>IF('Model inputs'!AB152="","",'Model inputs'!AB152)</f>
        <v>150</v>
      </c>
      <c r="N93" s="9">
        <f>IF('Model inputs'!AB152="","",'Model inputs'!AB152)</f>
        <v>150</v>
      </c>
      <c r="O93" s="9">
        <f>IF('Model inputs'!AB152="","",'Model inputs'!AB152)</f>
        <v>150</v>
      </c>
      <c r="P93" s="9">
        <f>IF('Model inputs'!AB152="","",'Model inputs'!AB152)</f>
        <v>150</v>
      </c>
      <c r="Q93" s="9">
        <f>IF('Model inputs'!AB152="","",'Model inputs'!AB152)</f>
        <v>150</v>
      </c>
      <c r="R93" s="9">
        <f>IF('Model inputs'!AB152="","",'Model inputs'!AB152)</f>
        <v>150</v>
      </c>
      <c r="S93" s="9">
        <f>IF('Model inputs'!AB152="","",'Model inputs'!AB152)</f>
        <v>150</v>
      </c>
      <c r="T93" s="9">
        <f>IF('Model inputs'!AB152="","",'Model inputs'!AB152)</f>
        <v>150</v>
      </c>
      <c r="U93" s="9">
        <f>IF('Model inputs'!AB152="","",'Model inputs'!AB152)</f>
        <v>150</v>
      </c>
      <c r="V93" s="9">
        <f>IF('Model inputs'!AB152="","",'Model inputs'!AB152)</f>
        <v>150</v>
      </c>
      <c r="W93" s="9">
        <f>IF('Model inputs'!AB152="","",'Model inputs'!AB152)</f>
        <v>150</v>
      </c>
      <c r="X93" s="9">
        <f>IF('Model inputs'!AB152="","",'Model inputs'!AB152)</f>
        <v>150</v>
      </c>
      <c r="Y93" s="9">
        <f>IF('Model inputs'!AB152="","",'Model inputs'!AB152)</f>
        <v>150</v>
      </c>
      <c r="Z93" s="9">
        <f>IF('Model inputs'!AB152="","",'Model inputs'!AB152)</f>
        <v>150</v>
      </c>
      <c r="AA93" s="9">
        <f>'Model inputs'!AA89</f>
        <v>0</v>
      </c>
    </row>
    <row r="94" outlineLevel="1">
      <c r="A94" t="inlineStr" s="19">
        <is>
          <t xml:space="preserve">Fixed operating costs &gt; Observability — neatlogs</t>
        </is>
      </c>
      <c r="B94" s="9">
        <f>IF('Model inputs'!AB153="","",'Model inputs'!AB153)</f>
        <v>50</v>
      </c>
      <c r="D94" s="9">
        <f>IF('Model inputs'!AB153="","",'Model inputs'!AB153)</f>
        <v>50</v>
      </c>
      <c r="E94" s="9">
        <f>IF('Model inputs'!AB153="","",'Model inputs'!AB153)</f>
        <v>50</v>
      </c>
      <c r="F94" s="9">
        <f>IF('Model inputs'!AB153="","",'Model inputs'!AB153)</f>
        <v>50</v>
      </c>
      <c r="G94" s="9">
        <f>IF('Model inputs'!AB153="","",'Model inputs'!AB153)</f>
        <v>50</v>
      </c>
      <c r="H94" s="9">
        <f>IF('Model inputs'!AB153="","",'Model inputs'!AB153)</f>
        <v>50</v>
      </c>
      <c r="I94" s="9">
        <f>IF('Model inputs'!AB153="","",'Model inputs'!AB153)</f>
        <v>50</v>
      </c>
      <c r="J94" s="9">
        <f>IF('Model inputs'!AB153="","",'Model inputs'!AB153)</f>
        <v>50</v>
      </c>
      <c r="K94" s="9">
        <f>IF('Model inputs'!AB153="","",'Model inputs'!AB153)</f>
        <v>50</v>
      </c>
      <c r="L94" s="9">
        <f>IF('Model inputs'!AB153="","",'Model inputs'!AB153)</f>
        <v>50</v>
      </c>
      <c r="M94" s="9">
        <f>IF('Model inputs'!AB153="","",'Model inputs'!AB153)</f>
        <v>50</v>
      </c>
      <c r="N94" s="9">
        <f>IF('Model inputs'!AB153="","",'Model inputs'!AB153)</f>
        <v>50</v>
      </c>
      <c r="O94" s="9">
        <f>IF('Model inputs'!AB153="","",'Model inputs'!AB153)</f>
        <v>50</v>
      </c>
      <c r="P94" s="9">
        <f>IF('Model inputs'!AB153="","",'Model inputs'!AB153)</f>
        <v>50</v>
      </c>
      <c r="Q94" s="9">
        <f>IF('Model inputs'!AB153="","",'Model inputs'!AB153)</f>
        <v>50</v>
      </c>
      <c r="R94" s="9">
        <f>IF('Model inputs'!AB153="","",'Model inputs'!AB153)</f>
        <v>50</v>
      </c>
      <c r="S94" s="9">
        <f>IF('Model inputs'!AB153="","",'Model inputs'!AB153)</f>
        <v>50</v>
      </c>
      <c r="T94" s="9">
        <f>IF('Model inputs'!AB153="","",'Model inputs'!AB153)</f>
        <v>50</v>
      </c>
      <c r="U94" s="9">
        <f>IF('Model inputs'!AB153="","",'Model inputs'!AB153)</f>
        <v>50</v>
      </c>
      <c r="V94" s="9">
        <f>IF('Model inputs'!AB153="","",'Model inputs'!AB153)</f>
        <v>50</v>
      </c>
      <c r="W94" s="9">
        <f>IF('Model inputs'!AB153="","",'Model inputs'!AB153)</f>
        <v>50</v>
      </c>
      <c r="X94" s="9">
        <f>IF('Model inputs'!AB153="","",'Model inputs'!AB153)</f>
        <v>50</v>
      </c>
      <c r="Y94" s="9">
        <f>IF('Model inputs'!AB153="","",'Model inputs'!AB153)</f>
        <v>50</v>
      </c>
      <c r="Z94" s="9">
        <f>IF('Model inputs'!AB153="","",'Model inputs'!AB153)</f>
        <v>50</v>
      </c>
      <c r="AA94" s="9">
        <f>'Model inputs'!AA90</f>
        <v>0</v>
      </c>
    </row>
    <row r="95" outlineLevel="1">
      <c r="A95" t="inlineStr" s="19">
        <is>
          <t xml:space="preserve">Fixed operating costs &gt; Other tools</t>
        </is>
      </c>
      <c r="B95" s="9">
        <f>IF('Model inputs'!AB154="","",'Model inputs'!AB154)</f>
        <v>100</v>
      </c>
      <c r="D95" s="9">
        <f>IF('Model inputs'!AB154="","",'Model inputs'!AB154)</f>
        <v>100</v>
      </c>
      <c r="E95" s="9">
        <f>IF('Model inputs'!AB154="","",'Model inputs'!AB154)</f>
        <v>100</v>
      </c>
      <c r="F95" s="9">
        <f>IF('Model inputs'!AB154="","",'Model inputs'!AB154)</f>
        <v>100</v>
      </c>
      <c r="G95" s="9">
        <f>IF('Model inputs'!AB154="","",'Model inputs'!AB154)</f>
        <v>100</v>
      </c>
      <c r="H95" s="9">
        <f>IF('Model inputs'!AB154="","",'Model inputs'!AB154)</f>
        <v>100</v>
      </c>
      <c r="I95" s="9">
        <f>IF('Model inputs'!AB154="","",'Model inputs'!AB154)</f>
        <v>100</v>
      </c>
      <c r="J95" s="9">
        <f>IF('Model inputs'!AB154="","",'Model inputs'!AB154)</f>
        <v>100</v>
      </c>
      <c r="K95" s="9">
        <f>IF('Model inputs'!AB154="","",'Model inputs'!AB154)</f>
        <v>100</v>
      </c>
      <c r="L95" s="9">
        <f>IF('Model inputs'!AB154="","",'Model inputs'!AB154)</f>
        <v>100</v>
      </c>
      <c r="M95" s="9">
        <f>IF('Model inputs'!AB154="","",'Model inputs'!AB154)</f>
        <v>100</v>
      </c>
      <c r="N95" s="9">
        <f>IF('Model inputs'!AB154="","",'Model inputs'!AB154)</f>
        <v>100</v>
      </c>
      <c r="O95" s="9">
        <f>IF('Model inputs'!AB154="","",'Model inputs'!AB154)</f>
        <v>100</v>
      </c>
      <c r="P95" s="9">
        <f>IF('Model inputs'!AB154="","",'Model inputs'!AB154)</f>
        <v>100</v>
      </c>
      <c r="Q95" s="9">
        <f>IF('Model inputs'!AB154="","",'Model inputs'!AB154)</f>
        <v>100</v>
      </c>
      <c r="R95" s="9">
        <f>IF('Model inputs'!AB154="","",'Model inputs'!AB154)</f>
        <v>100</v>
      </c>
      <c r="S95" s="9">
        <f>IF('Model inputs'!AB154="","",'Model inputs'!AB154)</f>
        <v>100</v>
      </c>
      <c r="T95" s="9">
        <f>IF('Model inputs'!AB154="","",'Model inputs'!AB154)</f>
        <v>100</v>
      </c>
      <c r="U95" s="9">
        <f>IF('Model inputs'!AB154="","",'Model inputs'!AB154)</f>
        <v>100</v>
      </c>
      <c r="V95" s="9">
        <f>IF('Model inputs'!AB154="","",'Model inputs'!AB154)</f>
        <v>100</v>
      </c>
      <c r="W95" s="9">
        <f>IF('Model inputs'!AB154="","",'Model inputs'!AB154)</f>
        <v>100</v>
      </c>
      <c r="X95" s="9">
        <f>IF('Model inputs'!AB154="","",'Model inputs'!AB154)</f>
        <v>100</v>
      </c>
      <c r="Y95" s="9">
        <f>IF('Model inputs'!AB154="","",'Model inputs'!AB154)</f>
        <v>100</v>
      </c>
      <c r="Z95" s="9">
        <f>IF('Model inputs'!AB154="","",'Model inputs'!AB154)</f>
        <v>100</v>
      </c>
      <c r="AA95" s="9">
        <f>'Model inputs'!AA91</f>
        <v>0</v>
      </c>
    </row>
    <row r="96">
      <c r="A96" t="inlineStr" s="18">
        <is>
          <t xml:space="preserve">Free repositories · Delivery cost buffer · Main Scenario · Main Scenario</t>
        </is>
      </c>
      <c r="AB96" s="10">
        <f>0</f>
        <v>0</v>
      </c>
    </row>
    <row r="97">
      <c r="A97" t="inlineStr" s="18">
        <is>
          <t xml:space="preserve">Free repositories · Delivery cost buffer · Upshift — Upside · Upshift — Upside</t>
        </is>
      </c>
      <c r="AB97" s="10">
        <f>'Model inputs'!AB96</f>
        <v>0</v>
      </c>
    </row>
    <row r="98">
      <c r="A98" t="inlineStr" s="18">
        <is>
          <t xml:space="preserve">Month-three paid repo target · New paid repositories · Base and upside comparison · Main Scenario · Main Scenario</t>
        </is>
      </c>
      <c r="AB98" s="10">
        <f>10</f>
        <v>10</v>
      </c>
    </row>
    <row r="99">
      <c r="A99" t="inlineStr" s="18">
        <is>
          <t xml:space="preserve">Month-three paid repo target · New paid repositories · Upshift — Upside · Upshift — Upside</t>
        </is>
      </c>
      <c r="AB99" s="10">
        <f>25</f>
        <v>25</v>
      </c>
    </row>
    <row r="100">
      <c r="A100" t="inlineStr" s="18">
        <is>
          <t xml:space="preserve">Monthly capital spending · Cash at combined stress · Main Scenario</t>
        </is>
      </c>
      <c r="AB100" s="9">
        <f>'Model inputs'!C37</f>
        <v>0</v>
      </c>
    </row>
    <row r="101">
      <c r="A101" t="inlineStr" s="18">
        <is>
          <t xml:space="preserve">Monthly capital spending · Net cash flow · Upshift — Upside · Upshift — Upside</t>
        </is>
      </c>
      <c r="AB101" s="9">
        <f>'Model inputs'!C37</f>
        <v>0</v>
      </c>
    </row>
    <row r="102">
      <c r="A102" t="inlineStr" s="18">
        <is>
          <t xml:space="preserve">Monthly gross repo growth · New paid repositories · Base and upside comparison · Main Scenario · Main Scenario</t>
        </is>
      </c>
      <c r="AB102" s="11">
        <f>0.15</f>
        <v>0.15</v>
      </c>
    </row>
    <row r="103">
      <c r="A103" t="inlineStr" s="18">
        <is>
          <t xml:space="preserve">Monthly gross repo growth · New paid repositories · Upshift — Upside · Upshift — Upside</t>
        </is>
      </c>
      <c r="AB103" s="11">
        <f>0.25</f>
        <v>0.25</v>
      </c>
    </row>
    <row r="104">
      <c r="A104" t="inlineStr" s="18">
        <is>
          <t xml:space="preserve">Monthly repo churn · Churned repositories · Base and upside comparison · Main Scenario · Main Scenario</t>
        </is>
      </c>
      <c r="AB104" s="11">
        <f>0.03</f>
        <v>0.03</v>
      </c>
    </row>
    <row r="105">
      <c r="A105" t="inlineStr" s="18">
        <is>
          <t xml:space="preserve">Monthly repo churn · Churned repositories · Upshift — Upside · Upshift — Upside</t>
        </is>
      </c>
      <c r="AB105" s="11">
        <f>'Model inputs'!AB104</f>
        <v>0.03</v>
      </c>
    </row>
    <row r="106">
      <c r="A106" t="inlineStr" s="18">
        <is>
          <t xml:space="preserve">Operating costs · Base and upside comparison · Main Scenario</t>
        </is>
      </c>
      <c r="B106" s="9">
        <f>'Model inputs'!B29+'Model inputs'!B21</f>
        <v>300</v>
      </c>
      <c r="D106" s="9">
        <f>'Model inputs'!D29+'Model inputs'!D21</f>
        <v>300</v>
      </c>
      <c r="E106" s="9">
        <f>'Model inputs'!E29+'Model inputs'!E21</f>
        <v>300</v>
      </c>
      <c r="F106" s="9">
        <f>'Model inputs'!F29+'Model inputs'!F21</f>
        <v>300</v>
      </c>
      <c r="G106" s="9">
        <f>'Model inputs'!G29+'Model inputs'!G21</f>
        <v>300</v>
      </c>
      <c r="H106" s="9">
        <f>'Model inputs'!H29+'Model inputs'!H21</f>
        <v>300</v>
      </c>
      <c r="I106" s="9">
        <f>'Model inputs'!I29+'Model inputs'!I21</f>
        <v>300</v>
      </c>
      <c r="J106" s="9">
        <f>'Model inputs'!J29+'Model inputs'!J21</f>
        <v>300</v>
      </c>
      <c r="K106" s="9">
        <f>'Model inputs'!K29+'Model inputs'!K21</f>
        <v>300</v>
      </c>
      <c r="L106" s="9">
        <f>'Model inputs'!L29+'Model inputs'!L21</f>
        <v>300</v>
      </c>
      <c r="M106" s="9">
        <f>'Model inputs'!M29+'Model inputs'!M21</f>
        <v>300</v>
      </c>
      <c r="N106" s="9">
        <f>'Model inputs'!N29+'Model inputs'!N21</f>
        <v>300</v>
      </c>
      <c r="O106" s="9">
        <f>'Model inputs'!O29+'Model inputs'!O21</f>
        <v>300</v>
      </c>
      <c r="P106" s="9">
        <f>'Model inputs'!P29+'Model inputs'!P21</f>
        <v>300</v>
      </c>
      <c r="Q106" s="9">
        <f>'Model inputs'!Q29+'Model inputs'!Q21</f>
        <v>300</v>
      </c>
      <c r="R106" s="9">
        <f>'Model inputs'!R29+'Model inputs'!R21</f>
        <v>300</v>
      </c>
      <c r="S106" s="9">
        <f>'Model inputs'!S29+'Model inputs'!S21</f>
        <v>300</v>
      </c>
      <c r="T106" s="9">
        <f>'Model inputs'!T29+'Model inputs'!T21</f>
        <v>300</v>
      </c>
      <c r="U106" s="9">
        <f>'Model inputs'!U29+'Model inputs'!U21</f>
        <v>300</v>
      </c>
      <c r="V106" s="9">
        <f>'Model inputs'!V29+'Model inputs'!V21</f>
        <v>300</v>
      </c>
      <c r="W106" s="9">
        <f>'Model inputs'!W29+'Model inputs'!W21</f>
        <v>300</v>
      </c>
      <c r="X106" s="9">
        <f>'Model inputs'!X29+'Model inputs'!X21</f>
        <v>300</v>
      </c>
      <c r="Y106" s="9">
        <f>'Model inputs'!Y29+'Model inputs'!Y21</f>
        <v>300</v>
      </c>
      <c r="Z106" s="9">
        <f>'Model inputs'!Z29+'Model inputs'!Z21</f>
        <v>300</v>
      </c>
      <c r="AA106" s="9">
        <v>0</v>
      </c>
    </row>
    <row r="107">
      <c r="A107" t="inlineStr" s="18">
        <is>
          <t xml:space="preserve">Operating costs · Base and upside comparison · Upshift — Upside</t>
        </is>
      </c>
      <c r="B107" s="9">
        <f>'Model inputs'!B30+'Model inputs'!B22</f>
        <v>300</v>
      </c>
      <c r="D107" s="9">
        <f>'Model inputs'!D30+'Model inputs'!D22</f>
        <v>300</v>
      </c>
      <c r="E107" s="9">
        <f>'Model inputs'!E30+'Model inputs'!E22</f>
        <v>300</v>
      </c>
      <c r="F107" s="9">
        <f>'Model inputs'!F30+'Model inputs'!F22</f>
        <v>300</v>
      </c>
      <c r="G107" s="9">
        <f>'Model inputs'!G30+'Model inputs'!G22</f>
        <v>300</v>
      </c>
      <c r="H107" s="9">
        <f>'Model inputs'!H30+'Model inputs'!H22</f>
        <v>300</v>
      </c>
      <c r="I107" s="9">
        <f>'Model inputs'!I30+'Model inputs'!I22</f>
        <v>300</v>
      </c>
      <c r="J107" s="9">
        <f>'Model inputs'!J30+'Model inputs'!J22</f>
        <v>300</v>
      </c>
      <c r="K107" s="9">
        <f>'Model inputs'!K30+'Model inputs'!K22</f>
        <v>300</v>
      </c>
      <c r="L107" s="9">
        <f>'Model inputs'!L30+'Model inputs'!L22</f>
        <v>300</v>
      </c>
      <c r="M107" s="9">
        <f>'Model inputs'!M30+'Model inputs'!M22</f>
        <v>300</v>
      </c>
      <c r="N107" s="9">
        <f>'Model inputs'!N30+'Model inputs'!N22</f>
        <v>300</v>
      </c>
      <c r="O107" s="9">
        <f>'Model inputs'!O30+'Model inputs'!O22</f>
        <v>300</v>
      </c>
      <c r="P107" s="9">
        <f>'Model inputs'!P30+'Model inputs'!P22</f>
        <v>300</v>
      </c>
      <c r="Q107" s="9">
        <f>'Model inputs'!Q30+'Model inputs'!Q22</f>
        <v>300</v>
      </c>
      <c r="R107" s="9">
        <f>'Model inputs'!R30+'Model inputs'!R22</f>
        <v>300</v>
      </c>
      <c r="S107" s="9">
        <f>'Model inputs'!S30+'Model inputs'!S22</f>
        <v>300</v>
      </c>
      <c r="T107" s="9">
        <f>'Model inputs'!T30+'Model inputs'!T22</f>
        <v>300</v>
      </c>
      <c r="U107" s="9">
        <f>'Model inputs'!U30+'Model inputs'!U22</f>
        <v>300</v>
      </c>
      <c r="V107" s="9">
        <f>'Model inputs'!V30+'Model inputs'!V22</f>
        <v>300</v>
      </c>
      <c r="W107" s="9">
        <f>'Model inputs'!W30+'Model inputs'!W22</f>
        <v>300</v>
      </c>
      <c r="X107" s="9">
        <f>'Model inputs'!X30+'Model inputs'!X22</f>
        <v>300</v>
      </c>
      <c r="Y107" s="9">
        <f>'Model inputs'!Y30+'Model inputs'!Y22</f>
        <v>300</v>
      </c>
      <c r="Z107" s="9">
        <f>'Model inputs'!Z30+'Model inputs'!Z22</f>
        <v>300</v>
      </c>
      <c r="AA107" s="9">
        <v>0</v>
      </c>
    </row>
    <row r="108">
      <c r="A108" t="inlineStr" s="18">
        <is>
          <t xml:space="preserve">Operating profit · Base and upside comparison · Main Scenario</t>
        </is>
      </c>
      <c r="B108" s="9">
        <f>'Model inputs'!B31-'Model inputs'!B106</f>
        <v>4756.200987770989</v>
      </c>
      <c r="D108" s="9">
        <f>'Model inputs'!D31-'Model inputs'!D106</f>
        <v>-144</v>
      </c>
      <c r="E108" s="9">
        <f>'Model inputs'!E31-'Model inputs'!E106</f>
        <v>12.000000000000057</v>
      </c>
      <c r="F108" s="9">
        <f>'Model inputs'!F31-'Model inputs'!F106</f>
        <v>168.0000000000001</v>
      </c>
      <c r="G108" s="9">
        <f>'Model inputs'!G31-'Model inputs'!G106</f>
        <v>224.16000000000008</v>
      </c>
      <c r="H108" s="9">
        <f>'Model inputs'!H31-'Model inputs'!H106</f>
        <v>287.05920000000003</v>
      </c>
      <c r="I108" s="9">
        <f>'Model inputs'!I31-'Model inputs'!I106</f>
        <v>357.5063040000001</v>
      </c>
      <c r="J108" s="9">
        <f>'Model inputs'!J31-'Model inputs'!J106</f>
        <v>436.40706048000004</v>
      </c>
      <c r="K108" s="9">
        <f>'Model inputs'!K31-'Model inputs'!K106</f>
        <v>524.7759077376</v>
      </c>
      <c r="L108" s="9">
        <f>'Model inputs'!L31-'Model inputs'!L106</f>
        <v>623.7490166661119</v>
      </c>
      <c r="M108" s="9">
        <f>'Model inputs'!M31-'Model inputs'!M106</f>
        <v>734.5988986660454</v>
      </c>
      <c r="N108" s="9">
        <f>'Model inputs'!N31-'Model inputs'!N106</f>
        <v>858.7507665059707</v>
      </c>
      <c r="O108" s="9">
        <f>'Model inputs'!O31-'Model inputs'!O106</f>
        <v>997.8008584866873</v>
      </c>
      <c r="P108" s="9">
        <f>'Model inputs'!P31-'Model inputs'!P106</f>
        <v>1153.5369615050897</v>
      </c>
      <c r="Q108" s="9">
        <f>'Model inputs'!Q31-'Model inputs'!Q106</f>
        <v>1327.9613968857002</v>
      </c>
      <c r="R108" s="9">
        <f>'Model inputs'!R31-'Model inputs'!R106</f>
        <v>1523.3167645119845</v>
      </c>
      <c r="S108" s="9">
        <f>'Model inputs'!S31-'Model inputs'!S106</f>
        <v>1742.1147762534229</v>
      </c>
      <c r="T108" s="9">
        <f>'Model inputs'!T31-'Model inputs'!T106</f>
        <v>1987.1685494038334</v>
      </c>
      <c r="U108" s="9">
        <f>'Model inputs'!U31-'Model inputs'!U106</f>
        <v>2261.628775332293</v>
      </c>
      <c r="V108" s="9">
        <f>'Model inputs'!V31-'Model inputs'!V106</f>
        <v>2569.0242283721686</v>
      </c>
      <c r="W108" s="9">
        <f>'Model inputs'!W31-'Model inputs'!W106</f>
        <v>2913.307135776829</v>
      </c>
      <c r="X108" s="9">
        <f>'Model inputs'!X31-'Model inputs'!X106</f>
        <v>3298.903992070048</v>
      </c>
      <c r="Y108" s="9">
        <f>'Model inputs'!Y31-'Model inputs'!Y106</f>
        <v>3730.7724711184537</v>
      </c>
      <c r="Z108" s="9">
        <f>'Model inputs'!Z31-'Model inputs'!Z106</f>
        <v>4214.465167652669</v>
      </c>
      <c r="AA108" s="9">
        <v>0</v>
      </c>
    </row>
    <row r="109">
      <c r="A109" t="inlineStr" s="18">
        <is>
          <t xml:space="preserve">Operating profit · Base and upside comparison · Upshift — Upside</t>
        </is>
      </c>
      <c r="B109" s="9">
        <f>'Model inputs'!B32-'Model inputs'!B107</f>
        <v>75862.6955005171</v>
      </c>
      <c r="D109" s="9">
        <f>'Model inputs'!D32-'Model inputs'!D107</f>
        <v>90.00000000000006</v>
      </c>
      <c r="E109" s="9">
        <f>'Model inputs'!E32-'Model inputs'!E107</f>
        <v>480.0000000000001</v>
      </c>
      <c r="F109" s="9">
        <f>'Model inputs'!F32-'Model inputs'!F107</f>
        <v>870</v>
      </c>
      <c r="G109" s="9">
        <f>'Model inputs'!G32-'Model inputs'!G107</f>
        <v>1127.4</v>
      </c>
      <c r="H109" s="9">
        <f>'Model inputs'!H32-'Model inputs'!H107</f>
        <v>1441.4279999999999</v>
      </c>
      <c r="I109" s="9">
        <f>'Model inputs'!I32-'Model inputs'!I107</f>
        <v>1824.54216</v>
      </c>
      <c r="J109" s="9">
        <f>'Model inputs'!J32-'Model inputs'!J107</f>
        <v>2291.9414352</v>
      </c>
      <c r="K109" s="9">
        <f>'Model inputs'!K32-'Model inputs'!K107</f>
        <v>2862.1685509440003</v>
      </c>
      <c r="L109" s="9">
        <f>'Model inputs'!L32-'Model inputs'!L107</f>
        <v>3557.84563215168</v>
      </c>
      <c r="M109" s="9">
        <f>'Model inputs'!M32-'Model inputs'!M107</f>
        <v>4406.5716712250505</v>
      </c>
      <c r="N109" s="9">
        <f>'Model inputs'!N32-'Model inputs'!N107</f>
        <v>5442.017438894562</v>
      </c>
      <c r="O109" s="9">
        <f>'Model inputs'!O32-'Model inputs'!O107</f>
        <v>6705.261275451365</v>
      </c>
      <c r="P109" s="9">
        <f>'Model inputs'!P32-'Model inputs'!P107</f>
        <v>8246.418756050665</v>
      </c>
      <c r="Q109" s="9">
        <f>'Model inputs'!Q32-'Model inputs'!Q107</f>
        <v>10126.630882381813</v>
      </c>
      <c r="R109" s="9">
        <f>'Model inputs'!R32-'Model inputs'!R107</f>
        <v>12420.489676505811</v>
      </c>
      <c r="S109" s="9">
        <f>'Model inputs'!S32-'Model inputs'!S107</f>
        <v>15218.99740533709</v>
      </c>
      <c r="T109" s="9">
        <f>'Model inputs'!T32-'Model inputs'!T107</f>
        <v>18633.17683451125</v>
      </c>
      <c r="U109" s="9">
        <f>'Model inputs'!U32-'Model inputs'!U107</f>
        <v>22798.475738103727</v>
      </c>
      <c r="V109" s="9">
        <f>'Model inputs'!V32-'Model inputs'!V107</f>
        <v>27880.14040048654</v>
      </c>
      <c r="W109" s="9">
        <f>'Model inputs'!W32-'Model inputs'!W107</f>
        <v>34079.771288593576</v>
      </c>
      <c r="X109" s="9">
        <f>'Model inputs'!X32-'Model inputs'!X107</f>
        <v>41643.32097208416</v>
      </c>
      <c r="Y109" s="9">
        <f>'Model inputs'!Y32-'Model inputs'!Y107</f>
        <v>50870.85158594269</v>
      </c>
      <c r="Z109" s="9">
        <f>'Model inputs'!Z32-'Model inputs'!Z107</f>
        <v>62128.438934850084</v>
      </c>
      <c r="AA109" s="9">
        <v>0</v>
      </c>
    </row>
    <row r="110">
      <c r="A110" t="inlineStr" s="18">
        <is>
          <t xml:space="preserve">Paid repositories · Base and upside comparison · Upshift — Upside</t>
        </is>
      </c>
      <c r="B110" s="10">
        <f>'Model inputs'!B47+'Model inputs'!B45-'Model inputs'!B15</f>
        <v>1627.4080235153226</v>
      </c>
      <c r="D110" s="10">
        <f>'Model inputs'!D47+'Model inputs'!D45-'Model inputs'!D15</f>
        <v>8.333333333333334</v>
      </c>
      <c r="E110" s="10">
        <f>'Model inputs'!E47+'Model inputs'!E45-'Model inputs'!E15</f>
        <v>16.666666666666668</v>
      </c>
      <c r="F110" s="10">
        <f>'Model inputs'!F47+'Model inputs'!F45-'Model inputs'!F15</f>
        <v>25</v>
      </c>
      <c r="G110" s="10">
        <f>'Model inputs'!G47+'Model inputs'!G45-'Model inputs'!G15</f>
        <v>30.5</v>
      </c>
      <c r="H110" s="10">
        <f>'Model inputs'!H47+'Model inputs'!H45-'Model inputs'!H15</f>
        <v>37.21</v>
      </c>
      <c r="I110" s="10">
        <f>'Model inputs'!I47+'Model inputs'!I45-'Model inputs'!I15</f>
        <v>45.3962</v>
      </c>
      <c r="J110" s="10">
        <f>'Model inputs'!J47+'Model inputs'!J45-'Model inputs'!J15</f>
        <v>55.383364</v>
      </c>
      <c r="K110" s="10">
        <f>'Model inputs'!K47+'Model inputs'!K45-'Model inputs'!K15</f>
        <v>67.56770408000001</v>
      </c>
      <c r="L110" s="10">
        <f>'Model inputs'!L47+'Model inputs'!L45-'Model inputs'!L15</f>
        <v>82.43259897760001</v>
      </c>
      <c r="M110" s="10">
        <f>'Model inputs'!M47+'Model inputs'!M45-'Model inputs'!M15</f>
        <v>100.56777075267202</v>
      </c>
      <c r="N110" s="10">
        <f>'Model inputs'!N47+'Model inputs'!N45-'Model inputs'!N15</f>
        <v>122.69268031825986</v>
      </c>
      <c r="O110" s="10">
        <f>'Model inputs'!O47+'Model inputs'!O45-'Model inputs'!O15</f>
        <v>149.68506998827704</v>
      </c>
      <c r="P110" s="10">
        <f>'Model inputs'!P47+'Model inputs'!P45-'Model inputs'!P15</f>
        <v>182.615785385698</v>
      </c>
      <c r="Q110" s="10">
        <f>'Model inputs'!Q47+'Model inputs'!Q45-'Model inputs'!Q15</f>
        <v>222.79125817055154</v>
      </c>
      <c r="R110" s="10">
        <f>'Model inputs'!R47+'Model inputs'!R45-'Model inputs'!R15</f>
        <v>271.8053349680729</v>
      </c>
      <c r="S110" s="10">
        <f>'Model inputs'!S47+'Model inputs'!S45-'Model inputs'!S15</f>
        <v>331.60250866104894</v>
      </c>
      <c r="T110" s="10">
        <f>'Model inputs'!T47+'Model inputs'!T45-'Model inputs'!T15</f>
        <v>404.5550605664797</v>
      </c>
      <c r="U110" s="10">
        <f>'Model inputs'!U47+'Model inputs'!U45-'Model inputs'!U15</f>
        <v>493.55717389110526</v>
      </c>
      <c r="V110" s="10">
        <f>'Model inputs'!V47+'Model inputs'!V45-'Model inputs'!V15</f>
        <v>602.1397521471483</v>
      </c>
      <c r="W110" s="10">
        <f>'Model inputs'!W47+'Model inputs'!W45-'Model inputs'!W15</f>
        <v>734.6104976195209</v>
      </c>
      <c r="X110" s="10">
        <f>'Model inputs'!X47+'Model inputs'!X45-'Model inputs'!X15</f>
        <v>896.2248070958155</v>
      </c>
      <c r="Y110" s="10">
        <f>'Model inputs'!Y47+'Model inputs'!Y45-'Model inputs'!Y15</f>
        <v>1093.394264656895</v>
      </c>
      <c r="Z110" s="10">
        <f>'Model inputs'!Z47+'Model inputs'!Z45-'Model inputs'!Z15</f>
        <v>1333.941002881412</v>
      </c>
      <c r="AA110" s="10">
        <v>0</v>
      </c>
    </row>
    <row r="111">
      <c r="A111" t="inlineStr" s="18">
        <is>
          <t xml:space="preserve">Payment processing rate · Payment processing costs · Main Scenario · Main Scenario</t>
        </is>
      </c>
      <c r="AB111" s="11">
        <f>'Model inputs'!C54</f>
        <v>0</v>
      </c>
    </row>
    <row r="112">
      <c r="A112" t="inlineStr" s="18">
        <is>
          <t xml:space="preserve">Payment processing rate · Payment processing costs · Upshift — Upside · Upshift — Upside</t>
        </is>
      </c>
      <c r="AB112" s="11">
        <f>'Model inputs'!C54</f>
        <v>0</v>
      </c>
    </row>
    <row r="113">
      <c r="A113" t="inlineStr" s="18">
        <is>
          <t xml:space="preserve">Per-repo cost buffer · Delivery cost buffer · Main Scenario · Main Scenario</t>
        </is>
      </c>
      <c r="AB113" s="9">
        <f>'Model inputs'!C56</f>
        <v>0.02</v>
      </c>
    </row>
    <row r="114">
      <c r="A114" t="inlineStr" s="18">
        <is>
          <t xml:space="preserve">Per-repo cost buffer · Delivery cost buffer · Upshift — Upside · Upshift — Upside</t>
        </is>
      </c>
      <c r="AB114" s="9">
        <f>'Model inputs'!C56</f>
        <v>0.02</v>
      </c>
    </row>
    <row r="115">
      <c r="A115" t="inlineStr" s="18">
        <is>
          <t xml:space="preserve">Profit at combined stress · Cash at combined stress</t>
        </is>
      </c>
      <c r="B115" s="9">
        <f>'Model inputs'!B169-'Model inputs'!B136-'Model inputs'!B106</f>
        <v>2271.3158869433664</v>
      </c>
      <c r="D115" s="9">
        <f>'Model inputs'!D169-'Model inputs'!D136-'Model inputs'!D106</f>
        <v>-220.66666666666666</v>
      </c>
      <c r="E115" s="9">
        <f>'Model inputs'!E169-'Model inputs'!E136-'Model inputs'!E106</f>
        <v>-141.33333333333331</v>
      </c>
      <c r="F115" s="9">
        <f>'Model inputs'!F169-'Model inputs'!F136-'Model inputs'!F106</f>
        <v>-61.999999999999886</v>
      </c>
      <c r="G115" s="9">
        <f>'Model inputs'!G169-'Model inputs'!G136-'Model inputs'!G106</f>
        <v>-33.43999999999994</v>
      </c>
      <c r="H115" s="9">
        <f>'Model inputs'!H169-'Model inputs'!H136-'Model inputs'!H106</f>
        <v>-1.452799999999911</v>
      </c>
      <c r="I115" s="9">
        <f>'Model inputs'!I169-'Model inputs'!I136-'Model inputs'!I106</f>
        <v>34.37286400000005</v>
      </c>
      <c r="J115" s="9">
        <f>'Model inputs'!J169-'Model inputs'!J136-'Model inputs'!J106</f>
        <v>74.49760767999999</v>
      </c>
      <c r="K115" s="9">
        <f>'Model inputs'!K169-'Model inputs'!K136-'Model inputs'!K106</f>
        <v>119.43732060160005</v>
      </c>
      <c r="L115" s="9">
        <f>'Model inputs'!L169-'Model inputs'!L136-'Model inputs'!L106</f>
        <v>169.76979907379183</v>
      </c>
      <c r="M115" s="9">
        <f>'Model inputs'!M169-'Model inputs'!M136-'Model inputs'!M106</f>
        <v>226.142174962647</v>
      </c>
      <c r="N115" s="9">
        <f>'Model inputs'!N169-'Model inputs'!N136-'Model inputs'!N106</f>
        <v>289.27923595816446</v>
      </c>
      <c r="O115" s="9">
        <f>'Model inputs'!O169-'Model inputs'!O136-'Model inputs'!O106</f>
        <v>359.99274427314435</v>
      </c>
      <c r="P115" s="9">
        <f>'Model inputs'!P169-'Model inputs'!P136-'Model inputs'!P106</f>
        <v>439.1918735859218</v>
      </c>
      <c r="Q115" s="9">
        <f>'Model inputs'!Q169-'Model inputs'!Q136-'Model inputs'!Q106</f>
        <v>527.8948984162322</v>
      </c>
      <c r="R115" s="9">
        <f>'Model inputs'!R169-'Model inputs'!R136-'Model inputs'!R106</f>
        <v>627.2422862261801</v>
      </c>
      <c r="S115" s="9">
        <f>'Model inputs'!S169-'Model inputs'!S136-'Model inputs'!S106</f>
        <v>738.5113605733218</v>
      </c>
      <c r="T115" s="9">
        <f>'Model inputs'!T169-'Model inputs'!T136-'Model inputs'!T106</f>
        <v>863.1327238421204</v>
      </c>
      <c r="U115" s="9">
        <f>'Model inputs'!U169-'Model inputs'!U136-'Model inputs'!U106</f>
        <v>1002.7086507031745</v>
      </c>
      <c r="V115" s="9">
        <f>'Model inputs'!V169-'Model inputs'!V136-'Model inputs'!V106</f>
        <v>1159.0336887875558</v>
      </c>
      <c r="W115" s="9">
        <f>'Model inputs'!W169-'Model inputs'!W136-'Model inputs'!W106</f>
        <v>1334.1177314420627</v>
      </c>
      <c r="X115" s="9">
        <f>'Model inputs'!X169-'Model inputs'!X136-'Model inputs'!X106</f>
        <v>1530.2118592151096</v>
      </c>
      <c r="Y115" s="9">
        <f>'Model inputs'!Y169-'Model inputs'!Y136-'Model inputs'!Y106</f>
        <v>1749.837282320923</v>
      </c>
      <c r="Z115" s="9">
        <f>'Model inputs'!Z169-'Model inputs'!Z136-'Model inputs'!Z106</f>
        <v>1995.8177561994344</v>
      </c>
      <c r="AA115" s="9">
        <v>0</v>
      </c>
    </row>
    <row r="116">
      <c r="A116" t="inlineStr" s="18">
        <is>
          <t xml:space="preserve">Profit at stress migration cost · Cash at stress migration cost</t>
        </is>
      </c>
      <c r="B116" s="9">
        <f>'Model inputs'!B61-'Model inputs'!B137-'Model inputs'!B106</f>
        <v>4432.085539836951</v>
      </c>
      <c r="D116" s="9">
        <f>'Model inputs'!D61-'Model inputs'!D137-'Model inputs'!D106</f>
        <v>-154</v>
      </c>
      <c r="E116" s="9">
        <f>'Model inputs'!E61-'Model inputs'!E137-'Model inputs'!E106</f>
        <v>-7.999999999999943</v>
      </c>
      <c r="F116" s="9">
        <f>'Model inputs'!F61-'Model inputs'!F137-'Model inputs'!F106</f>
        <v>138.0000000000001</v>
      </c>
      <c r="G116" s="9">
        <f>'Model inputs'!G61-'Model inputs'!G137-'Model inputs'!G106</f>
        <v>190.56000000000006</v>
      </c>
      <c r="H116" s="9">
        <f>'Model inputs'!H61-'Model inputs'!H137-'Model inputs'!H106</f>
        <v>249.42720000000008</v>
      </c>
      <c r="I116" s="9">
        <f>'Model inputs'!I61-'Model inputs'!I137-'Model inputs'!I106</f>
        <v>315.35846400000014</v>
      </c>
      <c r="J116" s="9">
        <f>'Model inputs'!J61-'Model inputs'!J137-'Model inputs'!J106</f>
        <v>389.20147968000003</v>
      </c>
      <c r="K116" s="9">
        <f>'Model inputs'!K61-'Model inputs'!K137-'Model inputs'!K106</f>
        <v>471.9056572416</v>
      </c>
      <c r="L116" s="9">
        <f>'Model inputs'!L61-'Model inputs'!L137-'Model inputs'!L106</f>
        <v>564.5343361105918</v>
      </c>
      <c r="M116" s="9">
        <f>'Model inputs'!M61-'Model inputs'!M137-'Model inputs'!M106</f>
        <v>668.278456443863</v>
      </c>
      <c r="N116" s="9">
        <f>'Model inputs'!N61-'Model inputs'!N137-'Model inputs'!N106</f>
        <v>784.4718712171264</v>
      </c>
      <c r="O116" s="9">
        <f>'Model inputs'!O61-'Model inputs'!O137-'Model inputs'!O106</f>
        <v>914.6084957631817</v>
      </c>
      <c r="P116" s="9">
        <f>'Model inputs'!P61-'Model inputs'!P137-'Model inputs'!P106</f>
        <v>1060.3615152547636</v>
      </c>
      <c r="Q116" s="9">
        <f>'Model inputs'!Q61-'Model inputs'!Q137-'Model inputs'!Q106</f>
        <v>1223.6048970853349</v>
      </c>
      <c r="R116" s="9">
        <f>'Model inputs'!R61-'Model inputs'!R137-'Model inputs'!R106</f>
        <v>1406.4374847355753</v>
      </c>
      <c r="S116" s="9">
        <f>'Model inputs'!S61-'Model inputs'!S137-'Model inputs'!S106</f>
        <v>1611.2099829038443</v>
      </c>
      <c r="T116" s="9">
        <f>'Model inputs'!T61-'Model inputs'!T137-'Model inputs'!T106</f>
        <v>1840.5551808523055</v>
      </c>
      <c r="U116" s="9">
        <f>'Model inputs'!U61-'Model inputs'!U137-'Model inputs'!U106</f>
        <v>2097.421802554582</v>
      </c>
      <c r="V116" s="9">
        <f>'Model inputs'!V61-'Model inputs'!V137-'Model inputs'!V106</f>
        <v>2385.112418861132</v>
      </c>
      <c r="W116" s="9">
        <f>'Model inputs'!W61-'Model inputs'!W137-'Model inputs'!W106</f>
        <v>2707.325909124468</v>
      </c>
      <c r="X116" s="9">
        <f>'Model inputs'!X61-'Model inputs'!X137-'Model inputs'!X106</f>
        <v>3068.205018219404</v>
      </c>
      <c r="Y116" s="9">
        <f>'Model inputs'!Y61-'Model inputs'!Y137-'Model inputs'!Y106</f>
        <v>3472.3896204057323</v>
      </c>
      <c r="Z116" s="9">
        <f>'Model inputs'!Z61-'Model inputs'!Z137-'Model inputs'!Z106</f>
        <v>3925.0763748544205</v>
      </c>
      <c r="AA116" s="9">
        <v>0</v>
      </c>
    </row>
    <row r="117">
      <c r="A117" t="inlineStr" s="18">
        <is>
          <t xml:space="preserve">Profit at stress price · Cash at stress price</t>
        </is>
      </c>
      <c r="B117" s="9">
        <f>'Model inputs'!B169-'Model inputs'!B138-'Model inputs'!B106</f>
        <v>2595.431334877404</v>
      </c>
      <c r="D117" s="9">
        <f>'Model inputs'!D169-'Model inputs'!D138-'Model inputs'!D106</f>
        <v>-210.66666666666666</v>
      </c>
      <c r="E117" s="9">
        <f>'Model inputs'!E169-'Model inputs'!E138-'Model inputs'!E106</f>
        <v>-121.33333333333329</v>
      </c>
      <c r="F117" s="9">
        <f>'Model inputs'!F169-'Model inputs'!F138-'Model inputs'!F106</f>
        <v>-31.999999999999886</v>
      </c>
      <c r="G117" s="9">
        <f>'Model inputs'!G169-'Model inputs'!G138-'Model inputs'!G106</f>
        <v>0.16000000000008185</v>
      </c>
      <c r="H117" s="9">
        <f>'Model inputs'!H169-'Model inputs'!H138-'Model inputs'!H106</f>
        <v>36.179200000000094</v>
      </c>
      <c r="I117" s="9">
        <f>'Model inputs'!I169-'Model inputs'!I138-'Model inputs'!I106</f>
        <v>76.52070400000008</v>
      </c>
      <c r="J117" s="9">
        <f>'Model inputs'!J169-'Model inputs'!J138-'Model inputs'!J106</f>
        <v>121.70318848</v>
      </c>
      <c r="K117" s="9">
        <f>'Model inputs'!K169-'Model inputs'!K138-'Model inputs'!K106</f>
        <v>172.30757109760003</v>
      </c>
      <c r="L117" s="9">
        <f>'Model inputs'!L169-'Model inputs'!L138-'Model inputs'!L106</f>
        <v>228.98447962931186</v>
      </c>
      <c r="M117" s="9">
        <f>'Model inputs'!M169-'Model inputs'!M138-'Model inputs'!M106</f>
        <v>292.46261718482936</v>
      </c>
      <c r="N117" s="9">
        <f>'Model inputs'!N169-'Model inputs'!N138-'Model inputs'!N106</f>
        <v>363.55813124700876</v>
      </c>
      <c r="O117" s="9">
        <f>'Model inputs'!O169-'Model inputs'!O138-'Model inputs'!O106</f>
        <v>443.18510699665</v>
      </c>
      <c r="P117" s="9">
        <f>'Model inputs'!P169-'Model inputs'!P138-'Model inputs'!P106</f>
        <v>532.367319836248</v>
      </c>
      <c r="Q117" s="9">
        <f>'Model inputs'!Q169-'Model inputs'!Q138-'Model inputs'!Q106</f>
        <v>632.2513982165976</v>
      </c>
      <c r="R117" s="9">
        <f>'Model inputs'!R169-'Model inputs'!R138-'Model inputs'!R106</f>
        <v>744.1215660025894</v>
      </c>
      <c r="S117" s="9">
        <f>'Model inputs'!S169-'Model inputs'!S138-'Model inputs'!S106</f>
        <v>869.4161539229003</v>
      </c>
      <c r="T117" s="9">
        <f>'Model inputs'!T169-'Model inputs'!T138-'Model inputs'!T106</f>
        <v>1009.7460923936483</v>
      </c>
      <c r="U117" s="9">
        <f>'Model inputs'!U169-'Model inputs'!U138-'Model inputs'!U106</f>
        <v>1166.9156234808856</v>
      </c>
      <c r="V117" s="9">
        <f>'Model inputs'!V169-'Model inputs'!V138-'Model inputs'!V106</f>
        <v>1342.9454982985922</v>
      </c>
      <c r="W117" s="9">
        <f>'Model inputs'!W169-'Model inputs'!W138-'Model inputs'!W106</f>
        <v>1540.0989580944236</v>
      </c>
      <c r="X117" s="9">
        <f>'Model inputs'!X169-'Model inputs'!X138-'Model inputs'!X106</f>
        <v>1760.9108330657536</v>
      </c>
      <c r="Y117" s="9">
        <f>'Model inputs'!Y169-'Model inputs'!Y138-'Model inputs'!Y106</f>
        <v>2008.2201330336443</v>
      </c>
      <c r="Z117" s="9">
        <f>'Model inputs'!Z169-'Model inputs'!Z138-'Model inputs'!Z106</f>
        <v>2285.206548997682</v>
      </c>
      <c r="AA117" s="9">
        <v>0</v>
      </c>
    </row>
    <row r="118">
      <c r="A118" t="inlineStr" s="18">
        <is>
          <t xml:space="preserve">Revenue · Base and upside comparison · Upshift — Upside</t>
        </is>
      </c>
      <c r="B118" s="9">
        <f>'Model inputs'!B67+'Model inputs'!B50</f>
        <v>79742.99315225081</v>
      </c>
      <c r="D118" s="9">
        <f>'Model inputs'!D67+'Model inputs'!D50</f>
        <v>408.33333333333337</v>
      </c>
      <c r="E118" s="9">
        <f>'Model inputs'!E67+'Model inputs'!E50</f>
        <v>816.6666666666667</v>
      </c>
      <c r="F118" s="9">
        <f>'Model inputs'!F67+'Model inputs'!F50</f>
        <v>1225</v>
      </c>
      <c r="G118" s="9">
        <f>'Model inputs'!G67+'Model inputs'!G50</f>
        <v>1494.5</v>
      </c>
      <c r="H118" s="9">
        <f>'Model inputs'!H67+'Model inputs'!H50</f>
        <v>1823.29</v>
      </c>
      <c r="I118" s="9">
        <f>'Model inputs'!I67+'Model inputs'!I50</f>
        <v>2224.4138</v>
      </c>
      <c r="J118" s="9">
        <f>'Model inputs'!J67+'Model inputs'!J50</f>
        <v>2713.784836</v>
      </c>
      <c r="K118" s="9">
        <f>'Model inputs'!K67+'Model inputs'!K50</f>
        <v>3310.8174999200005</v>
      </c>
      <c r="L118" s="9">
        <f>'Model inputs'!L67+'Model inputs'!L50</f>
        <v>4039.1973499024</v>
      </c>
      <c r="M118" s="9">
        <f>'Model inputs'!M67+'Model inputs'!M50</f>
        <v>4927.820766880929</v>
      </c>
      <c r="N118" s="9">
        <f>'Model inputs'!N67+'Model inputs'!N50</f>
        <v>6011.941335594734</v>
      </c>
      <c r="O118" s="9">
        <f>'Model inputs'!O67+'Model inputs'!O50</f>
        <v>7334.568429425574</v>
      </c>
      <c r="P118" s="9">
        <f>'Model inputs'!P67+'Model inputs'!P50</f>
        <v>8948.173483899202</v>
      </c>
      <c r="Q118" s="9">
        <f>'Model inputs'!Q67+'Model inputs'!Q50</f>
        <v>10916.771650357026</v>
      </c>
      <c r="R118" s="9">
        <f>'Model inputs'!R67+'Model inputs'!R50</f>
        <v>13318.46141343557</v>
      </c>
      <c r="S118" s="9">
        <f>'Model inputs'!S67+'Model inputs'!S50</f>
        <v>16248.522924391398</v>
      </c>
      <c r="T118" s="9">
        <f>'Model inputs'!T67+'Model inputs'!T50</f>
        <v>19823.197967757507</v>
      </c>
      <c r="U118" s="9">
        <f>'Model inputs'!U67+'Model inputs'!U50</f>
        <v>24184.301520664158</v>
      </c>
      <c r="V118" s="9">
        <f>'Model inputs'!V67+'Model inputs'!V50</f>
        <v>29504.847855210268</v>
      </c>
      <c r="W118" s="9">
        <f>'Model inputs'!W67+'Model inputs'!W50</f>
        <v>35995.914383356525</v>
      </c>
      <c r="X118" s="9">
        <f>'Model inputs'!X67+'Model inputs'!X50</f>
        <v>43915.01554769496</v>
      </c>
      <c r="Y118" s="9">
        <f>'Model inputs'!Y67+'Model inputs'!Y50</f>
        <v>53576.31896818786</v>
      </c>
      <c r="Z118" s="9">
        <f>'Model inputs'!Z67+'Model inputs'!Z50</f>
        <v>65363.10914118919</v>
      </c>
      <c r="AA118" s="9">
        <v>0</v>
      </c>
    </row>
    <row r="119">
      <c r="A119" t="inlineStr" s="18">
        <is>
          <t xml:space="preserve">Security compute cost · Compute costs · Main Scenario · Main Scenario</t>
        </is>
      </c>
      <c r="AB119" s="9">
        <f>'Model inputs'!C62</f>
        <v>0.02</v>
      </c>
    </row>
    <row r="120">
      <c r="A120" t="inlineStr" s="18">
        <is>
          <t xml:space="preserve">Security compute cost · Compute costs · Upshift — Upside · Upshift — Upside</t>
        </is>
      </c>
      <c r="AB120" s="9">
        <f>'Model inputs'!C62</f>
        <v>0.02</v>
      </c>
    </row>
    <row r="121">
      <c r="A121" t="inlineStr" s="18">
        <is>
          <t xml:space="preserve">Security jobs · Cash break-even marker · Main Scenario</t>
        </is>
      </c>
      <c r="B121" s="10">
        <f>('Model inputs'!B51+'Model inputs'!AB96)*'Model inputs'!C63</f>
        <v>432.153930578717</v>
      </c>
      <c r="D121" s="10">
        <f>('Model inputs'!D51+'Model inputs'!AB96)*'Model inputs'!C63</f>
        <v>13.333333333333334</v>
      </c>
      <c r="E121" s="10">
        <f>('Model inputs'!E51+'Model inputs'!AB96)*'Model inputs'!C63</f>
        <v>26.66666666666667</v>
      </c>
      <c r="F121" s="10">
        <f>('Model inputs'!F51+'Model inputs'!AB96)*'Model inputs'!C63</f>
        <v>40.00000000000001</v>
      </c>
      <c r="G121" s="10">
        <f>('Model inputs'!G51+'Model inputs'!AB96)*'Model inputs'!C63</f>
        <v>44.800000000000004</v>
      </c>
      <c r="H121" s="10">
        <f>('Model inputs'!H51+'Model inputs'!AB96)*'Model inputs'!C63</f>
        <v>50.176</v>
      </c>
      <c r="I121" s="10">
        <f>('Model inputs'!I51+'Model inputs'!AB96)*'Model inputs'!C63</f>
        <v>56.197120000000005</v>
      </c>
      <c r="J121" s="10">
        <f>('Model inputs'!J51+'Model inputs'!AB96)*'Model inputs'!C63</f>
        <v>62.9407744</v>
      </c>
      <c r="K121" s="10">
        <f>('Model inputs'!K51+'Model inputs'!AB96)*'Model inputs'!C63</f>
        <v>70.493667328</v>
      </c>
      <c r="L121" s="10">
        <f>('Model inputs'!L51+'Model inputs'!AB96)*'Model inputs'!C63</f>
        <v>78.95290740735999</v>
      </c>
      <c r="M121" s="10">
        <f>('Model inputs'!M51+'Model inputs'!AB96)*'Model inputs'!C63</f>
        <v>88.42725629624319</v>
      </c>
      <c r="N121" s="10">
        <f>('Model inputs'!N51+'Model inputs'!AB96)*'Model inputs'!C63</f>
        <v>99.03852705179237</v>
      </c>
      <c r="O121" s="10">
        <f>('Model inputs'!O51+'Model inputs'!AB96)*'Model inputs'!C63</f>
        <v>110.92315029800746</v>
      </c>
      <c r="P121" s="10">
        <f>('Model inputs'!P51+'Model inputs'!AB96)*'Model inputs'!C63</f>
        <v>124.23392833376835</v>
      </c>
      <c r="Q121" s="10">
        <f>('Model inputs'!Q51+'Model inputs'!AB96)*'Model inputs'!C63</f>
        <v>139.14199973382054</v>
      </c>
      <c r="R121" s="10">
        <f>('Model inputs'!R51+'Model inputs'!AB96)*'Model inputs'!C63</f>
        <v>155.83903970187902</v>
      </c>
      <c r="S121" s="10">
        <f>('Model inputs'!S51+'Model inputs'!AB96)*'Model inputs'!C63</f>
        <v>174.5397244661045</v>
      </c>
      <c r="T121" s="10">
        <f>('Model inputs'!T51+'Model inputs'!AB96)*'Model inputs'!C63</f>
        <v>195.48449140203704</v>
      </c>
      <c r="U121" s="10">
        <f>('Model inputs'!U51+'Model inputs'!AB96)*'Model inputs'!C63</f>
        <v>218.94263037028148</v>
      </c>
      <c r="V121" s="10">
        <f>('Model inputs'!V51+'Model inputs'!AB96)*'Model inputs'!C63</f>
        <v>245.21574601471525</v>
      </c>
      <c r="W121" s="10">
        <f>('Model inputs'!W51+'Model inputs'!AB96)*'Model inputs'!C63</f>
        <v>274.6416355364811</v>
      </c>
      <c r="X121" s="10">
        <f>('Model inputs'!X51+'Model inputs'!AB96)*'Model inputs'!C63</f>
        <v>307.5986318008588</v>
      </c>
      <c r="Y121" s="10">
        <f>('Model inputs'!Y51+'Model inputs'!AB96)*'Model inputs'!C63</f>
        <v>344.5104676169619</v>
      </c>
      <c r="Z121" s="10">
        <f>('Model inputs'!Z51+'Model inputs'!AB96)*'Model inputs'!C63</f>
        <v>385.8517237309973</v>
      </c>
      <c r="AA121" s="10">
        <v>0</v>
      </c>
    </row>
    <row r="122">
      <c r="A122" t="inlineStr" s="18">
        <is>
          <t xml:space="preserve">Security jobs · Base and upside comparison · Upshift — Upside</t>
        </is>
      </c>
      <c r="B122" s="10">
        <f>('Model inputs'!B110+'Model inputs'!AB97)*'Model inputs'!AB171</f>
        <v>6509.63209406129</v>
      </c>
      <c r="D122" s="10">
        <f>('Model inputs'!D110+'Model inputs'!AB97)*'Model inputs'!AB171</f>
        <v>33.333333333333336</v>
      </c>
      <c r="E122" s="10">
        <f>('Model inputs'!E110+'Model inputs'!AB97)*'Model inputs'!AB171</f>
        <v>66.66666666666667</v>
      </c>
      <c r="F122" s="10">
        <f>('Model inputs'!F110+'Model inputs'!AB97)*'Model inputs'!AB171</f>
        <v>100</v>
      </c>
      <c r="G122" s="10">
        <f>('Model inputs'!G110+'Model inputs'!AB97)*'Model inputs'!AB171</f>
        <v>122</v>
      </c>
      <c r="H122" s="10">
        <f>('Model inputs'!H110+'Model inputs'!AB97)*'Model inputs'!AB171</f>
        <v>148.84</v>
      </c>
      <c r="I122" s="10">
        <f>('Model inputs'!I110+'Model inputs'!AB97)*'Model inputs'!AB171</f>
        <v>181.5848</v>
      </c>
      <c r="J122" s="10">
        <f>('Model inputs'!J110+'Model inputs'!AB97)*'Model inputs'!AB171</f>
        <v>221.533456</v>
      </c>
      <c r="K122" s="10">
        <f>('Model inputs'!K110+'Model inputs'!AB97)*'Model inputs'!AB171</f>
        <v>270.27081632000005</v>
      </c>
      <c r="L122" s="10">
        <f>('Model inputs'!L110+'Model inputs'!AB97)*'Model inputs'!AB171</f>
        <v>329.73039591040003</v>
      </c>
      <c r="M122" s="10">
        <f>('Model inputs'!M110+'Model inputs'!AB97)*'Model inputs'!AB171</f>
        <v>402.2710830106881</v>
      </c>
      <c r="N122" s="10">
        <f>('Model inputs'!N110+'Model inputs'!AB97)*'Model inputs'!AB171</f>
        <v>490.77072127303944</v>
      </c>
      <c r="O122" s="10">
        <f>('Model inputs'!O110+'Model inputs'!AB97)*'Model inputs'!AB171</f>
        <v>598.7402799531081</v>
      </c>
      <c r="P122" s="10">
        <f>('Model inputs'!P110+'Model inputs'!AB97)*'Model inputs'!AB171</f>
        <v>730.463141542792</v>
      </c>
      <c r="Q122" s="10">
        <f>('Model inputs'!Q110+'Model inputs'!AB97)*'Model inputs'!AB171</f>
        <v>891.1650326822062</v>
      </c>
      <c r="R122" s="10">
        <f>('Model inputs'!R110+'Model inputs'!AB97)*'Model inputs'!AB171</f>
        <v>1087.2213398722915</v>
      </c>
      <c r="S122" s="10">
        <f>('Model inputs'!S110+'Model inputs'!AB97)*'Model inputs'!AB171</f>
        <v>1326.4100346441958</v>
      </c>
      <c r="T122" s="10">
        <f>('Model inputs'!T110+'Model inputs'!AB97)*'Model inputs'!AB171</f>
        <v>1618.2202422659188</v>
      </c>
      <c r="U122" s="10">
        <f>('Model inputs'!U110+'Model inputs'!AB97)*'Model inputs'!AB171</f>
        <v>1974.228695564421</v>
      </c>
      <c r="V122" s="10">
        <f>('Model inputs'!V110+'Model inputs'!AB97)*'Model inputs'!AB171</f>
        <v>2408.5590085885933</v>
      </c>
      <c r="W122" s="10">
        <f>('Model inputs'!W110+'Model inputs'!AB97)*'Model inputs'!AB171</f>
        <v>2938.4419904780834</v>
      </c>
      <c r="X122" s="10">
        <f>('Model inputs'!X110+'Model inputs'!AB97)*'Model inputs'!AB171</f>
        <v>3584.899228383262</v>
      </c>
      <c r="Y122" s="10">
        <f>('Model inputs'!Y110+'Model inputs'!AB97)*'Model inputs'!AB171</f>
        <v>4373.57705862758</v>
      </c>
      <c r="Z122" s="10">
        <f>('Model inputs'!Z110+'Model inputs'!AB97)*'Model inputs'!AB171</f>
        <v>5335.764011525648</v>
      </c>
      <c r="AA122" s="10">
        <v>0</v>
      </c>
    </row>
    <row r="123">
      <c r="A123" t="inlineStr" s="18">
        <is>
          <t xml:space="preserve">Subscription revenue</t>
        </is>
      </c>
      <c r="B123" s="14">
        <f>IF('Model inputs'!B66="","",'Model inputs'!B66)</f>
        <v>5293.885649589283</v>
      </c>
      <c r="D123" s="14">
        <f>IF('Model inputs'!D66="","",'Model inputs'!D66)</f>
        <v>163.33333333333334</v>
      </c>
      <c r="E123" s="14">
        <f>IF('Model inputs'!E66="","",'Model inputs'!E66)</f>
        <v>326.66666666666674</v>
      </c>
      <c r="F123" s="14">
        <f>IF('Model inputs'!F66="","",'Model inputs'!F66)</f>
        <v>490.0000000000001</v>
      </c>
      <c r="G123" s="14">
        <f>IF('Model inputs'!G66="","",'Model inputs'!G66)</f>
        <v>548.8000000000001</v>
      </c>
      <c r="H123" s="14">
        <f>IF('Model inputs'!H66="","",'Model inputs'!H66)</f>
        <v>614.6560000000001</v>
      </c>
      <c r="I123" s="14">
        <f>IF('Model inputs'!I66="","",'Model inputs'!I66)</f>
        <v>688.4147200000001</v>
      </c>
      <c r="J123" s="14">
        <f>IF('Model inputs'!J66="","",'Model inputs'!J66)</f>
        <v>771.0244864</v>
      </c>
      <c r="K123" s="14">
        <f>IF('Model inputs'!K66="","",'Model inputs'!K66)</f>
        <v>863.547424768</v>
      </c>
      <c r="L123" s="14">
        <f>IF('Model inputs'!L66="","",'Model inputs'!L66)</f>
        <v>967.1731157401598</v>
      </c>
      <c r="M123" s="14">
        <f>IF('Model inputs'!M66="","",'Model inputs'!M66)</f>
        <v>1083.2338896289791</v>
      </c>
      <c r="N123" s="14">
        <f>IF('Model inputs'!N66="","",'Model inputs'!N66)</f>
        <v>1213.2219563844565</v>
      </c>
      <c r="O123" s="14">
        <f>IF('Model inputs'!O66="","",'Model inputs'!O66)</f>
        <v>1358.8085911505914</v>
      </c>
      <c r="P123" s="14">
        <f>IF('Model inputs'!P66="","",'Model inputs'!P66)</f>
        <v>1521.8656220886623</v>
      </c>
      <c r="Q123" s="14">
        <f>IF('Model inputs'!Q66="","",'Model inputs'!Q66)</f>
        <v>1704.4894967393016</v>
      </c>
      <c r="R123" s="14">
        <f>IF('Model inputs'!R66="","",'Model inputs'!R66)</f>
        <v>1909.028236348018</v>
      </c>
      <c r="S123" s="14">
        <f>IF('Model inputs'!S66="","",'Model inputs'!S66)</f>
        <v>2138.1116247097802</v>
      </c>
      <c r="T123" s="14">
        <f>IF('Model inputs'!T66="","",'Model inputs'!T66)</f>
        <v>2394.6850196749538</v>
      </c>
      <c r="U123" s="14">
        <f>IF('Model inputs'!U66="","",'Model inputs'!U66)</f>
        <v>2682.047222035948</v>
      </c>
      <c r="V123" s="14">
        <f>IF('Model inputs'!V66="","",'Model inputs'!V66)</f>
        <v>3003.892888680262</v>
      </c>
      <c r="W123" s="14">
        <f>IF('Model inputs'!W66="","",'Model inputs'!W66)</f>
        <v>3364.3600353218935</v>
      </c>
      <c r="X123" s="14">
        <f>IF('Model inputs'!X66="","",'Model inputs'!X66)</f>
        <v>3768.0832395605203</v>
      </c>
      <c r="Y123" s="14">
        <f>IF('Model inputs'!Y66="","",'Model inputs'!Y66)</f>
        <v>4220.253228307783</v>
      </c>
      <c r="Z123" s="14">
        <f>IF('Model inputs'!Z66="","",'Model inputs'!Z66)</f>
        <v>4726.683615704717</v>
      </c>
      <c r="AA123" s="14">
        <f>IF('Model inputs'!AA66="","",'Model inputs'!AA66)</f>
        <v>0</v>
      </c>
    </row>
    <row r="124" outlineLevel="1">
      <c r="A124" t="inlineStr" s="19">
        <is>
          <t xml:space="preserve">Subscription revenue &gt; Business</t>
        </is>
      </c>
      <c r="B124" s="9">
        <f>'Model inputs'!B164*'Model inputs'!C58</f>
        <v>0</v>
      </c>
      <c r="D124" s="9">
        <f>'Model inputs'!D164*'Model inputs'!C58</f>
        <v>0</v>
      </c>
      <c r="E124" s="9">
        <f>'Model inputs'!E164*'Model inputs'!C58</f>
        <v>0</v>
      </c>
      <c r="F124" s="9">
        <f>'Model inputs'!F164*'Model inputs'!C58</f>
        <v>0</v>
      </c>
      <c r="G124" s="9">
        <f>'Model inputs'!G164*'Model inputs'!C58</f>
        <v>0</v>
      </c>
      <c r="H124" s="9">
        <f>'Model inputs'!H164*'Model inputs'!C58</f>
        <v>0</v>
      </c>
      <c r="I124" s="9">
        <f>'Model inputs'!I164*'Model inputs'!C58</f>
        <v>0</v>
      </c>
      <c r="J124" s="9">
        <f>'Model inputs'!J164*'Model inputs'!C58</f>
        <v>0</v>
      </c>
      <c r="K124" s="9">
        <f>'Model inputs'!K164*'Model inputs'!C58</f>
        <v>0</v>
      </c>
      <c r="L124" s="9">
        <f>'Model inputs'!L164*'Model inputs'!C58</f>
        <v>0</v>
      </c>
      <c r="M124" s="9">
        <f>'Model inputs'!M164*'Model inputs'!C58</f>
        <v>0</v>
      </c>
      <c r="N124" s="9">
        <f>'Model inputs'!N164*'Model inputs'!C58</f>
        <v>0</v>
      </c>
      <c r="O124" s="9">
        <f>'Model inputs'!O164*'Model inputs'!C58</f>
        <v>0</v>
      </c>
      <c r="P124" s="9">
        <f>'Model inputs'!P164*'Model inputs'!C58</f>
        <v>0</v>
      </c>
      <c r="Q124" s="9">
        <f>'Model inputs'!Q164*'Model inputs'!C58</f>
        <v>0</v>
      </c>
      <c r="R124" s="9">
        <f>'Model inputs'!R164*'Model inputs'!C58</f>
        <v>0</v>
      </c>
      <c r="S124" s="9">
        <f>'Model inputs'!S164*'Model inputs'!C58</f>
        <v>0</v>
      </c>
      <c r="T124" s="9">
        <f>'Model inputs'!T164*'Model inputs'!C58</f>
        <v>0</v>
      </c>
      <c r="U124" s="9">
        <f>'Model inputs'!U164*'Model inputs'!C58</f>
        <v>0</v>
      </c>
      <c r="V124" s="9">
        <f>'Model inputs'!V164*'Model inputs'!C58</f>
        <v>0</v>
      </c>
      <c r="W124" s="9">
        <f>'Model inputs'!W164*'Model inputs'!C58</f>
        <v>0</v>
      </c>
      <c r="X124" s="9">
        <f>'Model inputs'!X164*'Model inputs'!C58</f>
        <v>0</v>
      </c>
      <c r="Y124" s="9">
        <f>'Model inputs'!Y164*'Model inputs'!C58</f>
        <v>0</v>
      </c>
      <c r="Z124" s="9">
        <f>'Model inputs'!Z164*'Model inputs'!C58</f>
        <v>0</v>
      </c>
      <c r="AA124" s="9">
        <f>0</f>
        <v>0</v>
      </c>
    </row>
    <row r="125" outlineLevel="1">
      <c r="A125" t="inlineStr" s="19">
        <is>
          <t xml:space="preserve">Subscription revenue &gt; Team</t>
        </is>
      </c>
      <c r="B125" s="9">
        <f>'Model inputs'!B165*'Model inputs'!C59</f>
        <v>5293.885649589283</v>
      </c>
      <c r="D125" s="9">
        <f>'Model inputs'!D165*'Model inputs'!C59</f>
        <v>163.33333333333334</v>
      </c>
      <c r="E125" s="9">
        <f>'Model inputs'!E165*'Model inputs'!C59</f>
        <v>326.66666666666674</v>
      </c>
      <c r="F125" s="9">
        <f>'Model inputs'!F165*'Model inputs'!C59</f>
        <v>490.0000000000001</v>
      </c>
      <c r="G125" s="9">
        <f>'Model inputs'!G165*'Model inputs'!C59</f>
        <v>548.8000000000001</v>
      </c>
      <c r="H125" s="9">
        <f>'Model inputs'!H165*'Model inputs'!C59</f>
        <v>614.6560000000001</v>
      </c>
      <c r="I125" s="9">
        <f>'Model inputs'!I165*'Model inputs'!C59</f>
        <v>688.4147200000001</v>
      </c>
      <c r="J125" s="9">
        <f>'Model inputs'!J165*'Model inputs'!C59</f>
        <v>771.0244864</v>
      </c>
      <c r="K125" s="9">
        <f>'Model inputs'!K165*'Model inputs'!C59</f>
        <v>863.547424768</v>
      </c>
      <c r="L125" s="9">
        <f>'Model inputs'!L165*'Model inputs'!C59</f>
        <v>967.1731157401598</v>
      </c>
      <c r="M125" s="9">
        <f>'Model inputs'!M165*'Model inputs'!C59</f>
        <v>1083.2338896289791</v>
      </c>
      <c r="N125" s="9">
        <f>'Model inputs'!N165*'Model inputs'!C59</f>
        <v>1213.2219563844565</v>
      </c>
      <c r="O125" s="9">
        <f>'Model inputs'!O165*'Model inputs'!C59</f>
        <v>1358.8085911505914</v>
      </c>
      <c r="P125" s="9">
        <f>'Model inputs'!P165*'Model inputs'!C59</f>
        <v>1521.8656220886623</v>
      </c>
      <c r="Q125" s="9">
        <f>'Model inputs'!Q165*'Model inputs'!C59</f>
        <v>1704.4894967393016</v>
      </c>
      <c r="R125" s="9">
        <f>'Model inputs'!R165*'Model inputs'!C59</f>
        <v>1909.028236348018</v>
      </c>
      <c r="S125" s="9">
        <f>'Model inputs'!S165*'Model inputs'!C59</f>
        <v>2138.1116247097802</v>
      </c>
      <c r="T125" s="9">
        <f>'Model inputs'!T165*'Model inputs'!C59</f>
        <v>2394.6850196749538</v>
      </c>
      <c r="U125" s="9">
        <f>'Model inputs'!U165*'Model inputs'!C59</f>
        <v>2682.047222035948</v>
      </c>
      <c r="V125" s="9">
        <f>'Model inputs'!V165*'Model inputs'!C59</f>
        <v>3003.892888680262</v>
      </c>
      <c r="W125" s="9">
        <f>'Model inputs'!W165*'Model inputs'!C59</f>
        <v>3364.3600353218935</v>
      </c>
      <c r="X125" s="9">
        <f>'Model inputs'!X165*'Model inputs'!C59</f>
        <v>3768.0832395605203</v>
      </c>
      <c r="Y125" s="9">
        <f>'Model inputs'!Y165*'Model inputs'!C59</f>
        <v>4220.253228307783</v>
      </c>
      <c r="Z125" s="9">
        <f>'Model inputs'!Z165*'Model inputs'!C59</f>
        <v>4726.683615704717</v>
      </c>
      <c r="AA125" s="9">
        <f>0</f>
        <v>0</v>
      </c>
    </row>
    <row r="126">
      <c r="A126" t="inlineStr" s="18">
        <is>
          <t xml:space="preserve">Subscription revenue</t>
        </is>
      </c>
      <c r="B126" s="14">
        <f>IF('Model inputs'!B67="","",'Model inputs'!B67)</f>
        <v>79742.99315225081</v>
      </c>
      <c r="D126" s="14">
        <f>IF('Model inputs'!D67="","",'Model inputs'!D67)</f>
        <v>408.33333333333337</v>
      </c>
      <c r="E126" s="14">
        <f>IF('Model inputs'!E67="","",'Model inputs'!E67)</f>
        <v>816.6666666666667</v>
      </c>
      <c r="F126" s="14">
        <f>IF('Model inputs'!F67="","",'Model inputs'!F67)</f>
        <v>1225</v>
      </c>
      <c r="G126" s="14">
        <f>IF('Model inputs'!G67="","",'Model inputs'!G67)</f>
        <v>1494.5</v>
      </c>
      <c r="H126" s="14">
        <f>IF('Model inputs'!H67="","",'Model inputs'!H67)</f>
        <v>1823.29</v>
      </c>
      <c r="I126" s="14">
        <f>IF('Model inputs'!I67="","",'Model inputs'!I67)</f>
        <v>2224.4138</v>
      </c>
      <c r="J126" s="14">
        <f>IF('Model inputs'!J67="","",'Model inputs'!J67)</f>
        <v>2713.784836</v>
      </c>
      <c r="K126" s="14">
        <f>IF('Model inputs'!K67="","",'Model inputs'!K67)</f>
        <v>3310.8174999200005</v>
      </c>
      <c r="L126" s="14">
        <f>IF('Model inputs'!L67="","",'Model inputs'!L67)</f>
        <v>4039.1973499024</v>
      </c>
      <c r="M126" s="14">
        <f>IF('Model inputs'!M67="","",'Model inputs'!M67)</f>
        <v>4927.820766880929</v>
      </c>
      <c r="N126" s="14">
        <f>IF('Model inputs'!N67="","",'Model inputs'!N67)</f>
        <v>6011.941335594734</v>
      </c>
      <c r="O126" s="14">
        <f>IF('Model inputs'!O67="","",'Model inputs'!O67)</f>
        <v>7334.568429425574</v>
      </c>
      <c r="P126" s="14">
        <f>IF('Model inputs'!P67="","",'Model inputs'!P67)</f>
        <v>8948.173483899202</v>
      </c>
      <c r="Q126" s="14">
        <f>IF('Model inputs'!Q67="","",'Model inputs'!Q67)</f>
        <v>10916.771650357026</v>
      </c>
      <c r="R126" s="14">
        <f>IF('Model inputs'!R67="","",'Model inputs'!R67)</f>
        <v>13318.46141343557</v>
      </c>
      <c r="S126" s="14">
        <f>IF('Model inputs'!S67="","",'Model inputs'!S67)</f>
        <v>16248.522924391398</v>
      </c>
      <c r="T126" s="14">
        <f>IF('Model inputs'!T67="","",'Model inputs'!T67)</f>
        <v>19823.197967757507</v>
      </c>
      <c r="U126" s="14">
        <f>IF('Model inputs'!U67="","",'Model inputs'!U67)</f>
        <v>24184.301520664158</v>
      </c>
      <c r="V126" s="14">
        <f>IF('Model inputs'!V67="","",'Model inputs'!V67)</f>
        <v>29504.847855210268</v>
      </c>
      <c r="W126" s="14">
        <f>IF('Model inputs'!W67="","",'Model inputs'!W67)</f>
        <v>35995.914383356525</v>
      </c>
      <c r="X126" s="14">
        <f>IF('Model inputs'!X67="","",'Model inputs'!X67)</f>
        <v>43915.01554769496</v>
      </c>
      <c r="Y126" s="14">
        <f>IF('Model inputs'!Y67="","",'Model inputs'!Y67)</f>
        <v>53576.31896818786</v>
      </c>
      <c r="Z126" s="14">
        <f>IF('Model inputs'!Z67="","",'Model inputs'!Z67)</f>
        <v>65363.10914118919</v>
      </c>
      <c r="AA126" s="14">
        <f>IF('Model inputs'!AA67="","",'Model inputs'!AA67)</f>
        <v>0</v>
      </c>
    </row>
    <row r="127" outlineLevel="1">
      <c r="A127" t="inlineStr" s="19">
        <is>
          <t xml:space="preserve">Subscription revenue &gt; Business</t>
        </is>
      </c>
      <c r="B127" s="9">
        <f>'Model inputs'!B167*'Model inputs'!AB161</f>
        <v>0</v>
      </c>
      <c r="D127" s="9">
        <f>'Model inputs'!D167*'Model inputs'!AB161</f>
        <v>0</v>
      </c>
      <c r="E127" s="9">
        <f>'Model inputs'!E167*'Model inputs'!AB161</f>
        <v>0</v>
      </c>
      <c r="F127" s="9">
        <f>'Model inputs'!F167*'Model inputs'!AB161</f>
        <v>0</v>
      </c>
      <c r="G127" s="9">
        <f>'Model inputs'!G167*'Model inputs'!AB161</f>
        <v>0</v>
      </c>
      <c r="H127" s="9">
        <f>'Model inputs'!H167*'Model inputs'!AB161</f>
        <v>0</v>
      </c>
      <c r="I127" s="9">
        <f>'Model inputs'!I167*'Model inputs'!AB161</f>
        <v>0</v>
      </c>
      <c r="J127" s="9">
        <f>'Model inputs'!J167*'Model inputs'!AB161</f>
        <v>0</v>
      </c>
      <c r="K127" s="9">
        <f>'Model inputs'!K167*'Model inputs'!AB161</f>
        <v>0</v>
      </c>
      <c r="L127" s="9">
        <f>'Model inputs'!L167*'Model inputs'!AB161</f>
        <v>0</v>
      </c>
      <c r="M127" s="9">
        <f>'Model inputs'!M167*'Model inputs'!AB161</f>
        <v>0</v>
      </c>
      <c r="N127" s="9">
        <f>'Model inputs'!N167*'Model inputs'!AB161</f>
        <v>0</v>
      </c>
      <c r="O127" s="9">
        <f>'Model inputs'!O167*'Model inputs'!AB161</f>
        <v>0</v>
      </c>
      <c r="P127" s="9">
        <f>'Model inputs'!P167*'Model inputs'!AB161</f>
        <v>0</v>
      </c>
      <c r="Q127" s="9">
        <f>'Model inputs'!Q167*'Model inputs'!AB161</f>
        <v>0</v>
      </c>
      <c r="R127" s="9">
        <f>'Model inputs'!R167*'Model inputs'!AB161</f>
        <v>0</v>
      </c>
      <c r="S127" s="9">
        <f>'Model inputs'!S167*'Model inputs'!AB161</f>
        <v>0</v>
      </c>
      <c r="T127" s="9">
        <f>'Model inputs'!T167*'Model inputs'!AB161</f>
        <v>0</v>
      </c>
      <c r="U127" s="9">
        <f>'Model inputs'!U167*'Model inputs'!AB161</f>
        <v>0</v>
      </c>
      <c r="V127" s="9">
        <f>'Model inputs'!V167*'Model inputs'!AB161</f>
        <v>0</v>
      </c>
      <c r="W127" s="9">
        <f>'Model inputs'!W167*'Model inputs'!AB161</f>
        <v>0</v>
      </c>
      <c r="X127" s="9">
        <f>'Model inputs'!X167*'Model inputs'!AB161</f>
        <v>0</v>
      </c>
      <c r="Y127" s="9">
        <f>'Model inputs'!Y167*'Model inputs'!AB161</f>
        <v>0</v>
      </c>
      <c r="Z127" s="9">
        <f>'Model inputs'!Z167*'Model inputs'!AB161</f>
        <v>0</v>
      </c>
      <c r="AA127" s="9">
        <f>'Model inputs'!AA124</f>
        <v>0</v>
      </c>
    </row>
    <row r="128" outlineLevel="1">
      <c r="A128" t="inlineStr" s="19">
        <is>
          <t xml:space="preserve">Subscription revenue &gt; Team</t>
        </is>
      </c>
      <c r="B128" s="9">
        <f>'Model inputs'!B168*'Model inputs'!AB162</f>
        <v>79742.99315225081</v>
      </c>
      <c r="D128" s="9">
        <f>'Model inputs'!D168*'Model inputs'!AB162</f>
        <v>408.33333333333337</v>
      </c>
      <c r="E128" s="9">
        <f>'Model inputs'!E168*'Model inputs'!AB162</f>
        <v>816.6666666666667</v>
      </c>
      <c r="F128" s="9">
        <f>'Model inputs'!F168*'Model inputs'!AB162</f>
        <v>1225</v>
      </c>
      <c r="G128" s="9">
        <f>'Model inputs'!G168*'Model inputs'!AB162</f>
        <v>1494.5</v>
      </c>
      <c r="H128" s="9">
        <f>'Model inputs'!H168*'Model inputs'!AB162</f>
        <v>1823.29</v>
      </c>
      <c r="I128" s="9">
        <f>'Model inputs'!I168*'Model inputs'!AB162</f>
        <v>2224.4138</v>
      </c>
      <c r="J128" s="9">
        <f>'Model inputs'!J168*'Model inputs'!AB162</f>
        <v>2713.784836</v>
      </c>
      <c r="K128" s="9">
        <f>'Model inputs'!K168*'Model inputs'!AB162</f>
        <v>3310.8174999200005</v>
      </c>
      <c r="L128" s="9">
        <f>'Model inputs'!L168*'Model inputs'!AB162</f>
        <v>4039.1973499024</v>
      </c>
      <c r="M128" s="9">
        <f>'Model inputs'!M168*'Model inputs'!AB162</f>
        <v>4927.820766880929</v>
      </c>
      <c r="N128" s="9">
        <f>'Model inputs'!N168*'Model inputs'!AB162</f>
        <v>6011.941335594734</v>
      </c>
      <c r="O128" s="9">
        <f>'Model inputs'!O168*'Model inputs'!AB162</f>
        <v>7334.568429425574</v>
      </c>
      <c r="P128" s="9">
        <f>'Model inputs'!P168*'Model inputs'!AB162</f>
        <v>8948.173483899202</v>
      </c>
      <c r="Q128" s="9">
        <f>'Model inputs'!Q168*'Model inputs'!AB162</f>
        <v>10916.771650357026</v>
      </c>
      <c r="R128" s="9">
        <f>'Model inputs'!R168*'Model inputs'!AB162</f>
        <v>13318.46141343557</v>
      </c>
      <c r="S128" s="9">
        <f>'Model inputs'!S168*'Model inputs'!AB162</f>
        <v>16248.522924391398</v>
      </c>
      <c r="T128" s="9">
        <f>'Model inputs'!T168*'Model inputs'!AB162</f>
        <v>19823.197967757507</v>
      </c>
      <c r="U128" s="9">
        <f>'Model inputs'!U168*'Model inputs'!AB162</f>
        <v>24184.301520664158</v>
      </c>
      <c r="V128" s="9">
        <f>'Model inputs'!V168*'Model inputs'!AB162</f>
        <v>29504.847855210268</v>
      </c>
      <c r="W128" s="9">
        <f>'Model inputs'!W168*'Model inputs'!AB162</f>
        <v>35995.914383356525</v>
      </c>
      <c r="X128" s="9">
        <f>'Model inputs'!X168*'Model inputs'!AB162</f>
        <v>43915.01554769496</v>
      </c>
      <c r="Y128" s="9">
        <f>'Model inputs'!Y168*'Model inputs'!AB162</f>
        <v>53576.31896818786</v>
      </c>
      <c r="Z128" s="9">
        <f>'Model inputs'!Z168*'Model inputs'!AB162</f>
        <v>65363.10914118919</v>
      </c>
      <c r="AA128" s="9">
        <f>'Model inputs'!AA125</f>
        <v>0</v>
      </c>
    </row>
    <row r="129">
      <c r="A129" t="inlineStr" s="18">
        <is>
          <t xml:space="preserve">Founder payroll</t>
        </is>
      </c>
      <c r="B129" s="14">
        <f>IF('Model inputs'!B29="","",'Model inputs'!B29)</f>
        <v>0</v>
      </c>
      <c r="D129" s="14">
        <f>IF('Model inputs'!D29="","",'Model inputs'!D29)</f>
        <v>0</v>
      </c>
      <c r="E129" s="14">
        <f>IF('Model inputs'!E29="","",'Model inputs'!E29)</f>
        <v>0</v>
      </c>
      <c r="F129" s="14">
        <f>IF('Model inputs'!F29="","",'Model inputs'!F29)</f>
        <v>0</v>
      </c>
      <c r="G129" s="14">
        <f>IF('Model inputs'!G29="","",'Model inputs'!G29)</f>
        <v>0</v>
      </c>
      <c r="H129" s="14">
        <f>IF('Model inputs'!H29="","",'Model inputs'!H29)</f>
        <v>0</v>
      </c>
      <c r="I129" s="14">
        <f>IF('Model inputs'!I29="","",'Model inputs'!I29)</f>
        <v>0</v>
      </c>
      <c r="J129" s="14">
        <f>IF('Model inputs'!J29="","",'Model inputs'!J29)</f>
        <v>0</v>
      </c>
      <c r="K129" s="14">
        <f>IF('Model inputs'!K29="","",'Model inputs'!K29)</f>
        <v>0</v>
      </c>
      <c r="L129" s="14">
        <f>IF('Model inputs'!L29="","",'Model inputs'!L29)</f>
        <v>0</v>
      </c>
      <c r="M129" s="14">
        <f>IF('Model inputs'!M29="","",'Model inputs'!M29)</f>
        <v>0</v>
      </c>
      <c r="N129" s="14">
        <f>IF('Model inputs'!N29="","",'Model inputs'!N29)</f>
        <v>0</v>
      </c>
      <c r="O129" s="14">
        <f>IF('Model inputs'!O29="","",'Model inputs'!O29)</f>
        <v>0</v>
      </c>
      <c r="P129" s="14">
        <f>IF('Model inputs'!P29="","",'Model inputs'!P29)</f>
        <v>0</v>
      </c>
      <c r="Q129" s="14">
        <f>IF('Model inputs'!Q29="","",'Model inputs'!Q29)</f>
        <v>0</v>
      </c>
      <c r="R129" s="14">
        <f>IF('Model inputs'!R29="","",'Model inputs'!R29)</f>
        <v>0</v>
      </c>
      <c r="S129" s="14">
        <f>IF('Model inputs'!S29="","",'Model inputs'!S29)</f>
        <v>0</v>
      </c>
      <c r="T129" s="14">
        <f>IF('Model inputs'!T29="","",'Model inputs'!T29)</f>
        <v>0</v>
      </c>
      <c r="U129" s="14">
        <f>IF('Model inputs'!U29="","",'Model inputs'!U29)</f>
        <v>0</v>
      </c>
      <c r="V129" s="14">
        <f>IF('Model inputs'!V29="","",'Model inputs'!V29)</f>
        <v>0</v>
      </c>
      <c r="W129" s="14">
        <f>IF('Model inputs'!W29="","",'Model inputs'!W29)</f>
        <v>0</v>
      </c>
      <c r="X129" s="14">
        <f>IF('Model inputs'!X29="","",'Model inputs'!X29)</f>
        <v>0</v>
      </c>
      <c r="Y129" s="14">
        <f>IF('Model inputs'!Y29="","",'Model inputs'!Y29)</f>
        <v>0</v>
      </c>
      <c r="Z129" s="14">
        <f>IF('Model inputs'!Z29="","",'Model inputs'!Z29)</f>
        <v>0</v>
      </c>
      <c r="AA129" s="14">
        <f>IF('Model inputs'!AA29="","",'Model inputs'!AA29)</f>
        <v>0</v>
      </c>
    </row>
    <row r="130" outlineLevel="1">
      <c r="A130" t="inlineStr" s="19">
        <is>
          <t xml:space="preserve">Founder payroll &gt; Harsh — founder</t>
        </is>
      </c>
      <c r="B130" s="9">
        <f>'Model inputs'!B140*'Model inputs'!C28*(1+'Model inputs'!C55)</f>
        <v>0</v>
      </c>
      <c r="D130" s="9">
        <f>'Model inputs'!D140*'Model inputs'!C28*(1+'Model inputs'!C55)</f>
        <v>0</v>
      </c>
      <c r="E130" s="9">
        <f>'Model inputs'!E140*'Model inputs'!C28*(1+'Model inputs'!C55)</f>
        <v>0</v>
      </c>
      <c r="F130" s="9">
        <f>'Model inputs'!F140*'Model inputs'!C28*(1+'Model inputs'!C55)</f>
        <v>0</v>
      </c>
      <c r="G130" s="9">
        <f>'Model inputs'!G140*'Model inputs'!C28*(1+'Model inputs'!C55)</f>
        <v>0</v>
      </c>
      <c r="H130" s="9">
        <f>'Model inputs'!H140*'Model inputs'!C28*(1+'Model inputs'!C55)</f>
        <v>0</v>
      </c>
      <c r="I130" s="9">
        <f>'Model inputs'!I140*'Model inputs'!C28*(1+'Model inputs'!C55)</f>
        <v>0</v>
      </c>
      <c r="J130" s="9">
        <f>'Model inputs'!J140*'Model inputs'!C28*(1+'Model inputs'!C55)</f>
        <v>0</v>
      </c>
      <c r="K130" s="9">
        <f>'Model inputs'!K140*'Model inputs'!C28*(1+'Model inputs'!C55)</f>
        <v>0</v>
      </c>
      <c r="L130" s="9">
        <f>'Model inputs'!L140*'Model inputs'!C28*(1+'Model inputs'!C55)</f>
        <v>0</v>
      </c>
      <c r="M130" s="9">
        <f>'Model inputs'!M140*'Model inputs'!C28*(1+'Model inputs'!C55)</f>
        <v>0</v>
      </c>
      <c r="N130" s="9">
        <f>'Model inputs'!N140*'Model inputs'!C28*(1+'Model inputs'!C55)</f>
        <v>0</v>
      </c>
      <c r="O130" s="9">
        <f>'Model inputs'!O140*'Model inputs'!C28*(1+'Model inputs'!C55)</f>
        <v>0</v>
      </c>
      <c r="P130" s="9">
        <f>'Model inputs'!P140*'Model inputs'!C28*(1+'Model inputs'!C55)</f>
        <v>0</v>
      </c>
      <c r="Q130" s="9">
        <f>'Model inputs'!Q140*'Model inputs'!C28*(1+'Model inputs'!C55)</f>
        <v>0</v>
      </c>
      <c r="R130" s="9">
        <f>'Model inputs'!R140*'Model inputs'!C28*(1+'Model inputs'!C55)</f>
        <v>0</v>
      </c>
      <c r="S130" s="9">
        <f>'Model inputs'!S140*'Model inputs'!C28*(1+'Model inputs'!C55)</f>
        <v>0</v>
      </c>
      <c r="T130" s="9">
        <f>'Model inputs'!T140*'Model inputs'!C28*(1+'Model inputs'!C55)</f>
        <v>0</v>
      </c>
      <c r="U130" s="9">
        <f>'Model inputs'!U140*'Model inputs'!C28*(1+'Model inputs'!C55)</f>
        <v>0</v>
      </c>
      <c r="V130" s="9">
        <f>'Model inputs'!V140*'Model inputs'!C28*(1+'Model inputs'!C55)</f>
        <v>0</v>
      </c>
      <c r="W130" s="9">
        <f>'Model inputs'!W140*'Model inputs'!C28*(1+'Model inputs'!C55)</f>
        <v>0</v>
      </c>
      <c r="X130" s="9">
        <f>'Model inputs'!X140*'Model inputs'!C28*(1+'Model inputs'!C55)</f>
        <v>0</v>
      </c>
      <c r="Y130" s="9">
        <f>'Model inputs'!Y140*'Model inputs'!C28*(1+'Model inputs'!C55)</f>
        <v>0</v>
      </c>
      <c r="Z130" s="9">
        <f>'Model inputs'!Z140*'Model inputs'!C28*(1+'Model inputs'!C55)</f>
        <v>0</v>
      </c>
      <c r="AA130" s="9">
        <f>0</f>
        <v>0</v>
      </c>
    </row>
    <row r="131">
      <c r="A131" t="inlineStr" s="18">
        <is>
          <t xml:space="preserve">Founder payroll</t>
        </is>
      </c>
      <c r="B131" s="14">
        <f>IF('Model inputs'!B30="","",'Model inputs'!B30)</f>
        <v>0</v>
      </c>
      <c r="D131" s="14">
        <f>IF('Model inputs'!D30="","",'Model inputs'!D30)</f>
        <v>0</v>
      </c>
      <c r="E131" s="14">
        <f>IF('Model inputs'!E30="","",'Model inputs'!E30)</f>
        <v>0</v>
      </c>
      <c r="F131" s="14">
        <f>IF('Model inputs'!F30="","",'Model inputs'!F30)</f>
        <v>0</v>
      </c>
      <c r="G131" s="14">
        <f>IF('Model inputs'!G30="","",'Model inputs'!G30)</f>
        <v>0</v>
      </c>
      <c r="H131" s="14">
        <f>IF('Model inputs'!H30="","",'Model inputs'!H30)</f>
        <v>0</v>
      </c>
      <c r="I131" s="14">
        <f>IF('Model inputs'!I30="","",'Model inputs'!I30)</f>
        <v>0</v>
      </c>
      <c r="J131" s="14">
        <f>IF('Model inputs'!J30="","",'Model inputs'!J30)</f>
        <v>0</v>
      </c>
      <c r="K131" s="14">
        <f>IF('Model inputs'!K30="","",'Model inputs'!K30)</f>
        <v>0</v>
      </c>
      <c r="L131" s="14">
        <f>IF('Model inputs'!L30="","",'Model inputs'!L30)</f>
        <v>0</v>
      </c>
      <c r="M131" s="14">
        <f>IF('Model inputs'!M30="","",'Model inputs'!M30)</f>
        <v>0</v>
      </c>
      <c r="N131" s="14">
        <f>IF('Model inputs'!N30="","",'Model inputs'!N30)</f>
        <v>0</v>
      </c>
      <c r="O131" s="14">
        <f>IF('Model inputs'!O30="","",'Model inputs'!O30)</f>
        <v>0</v>
      </c>
      <c r="P131" s="14">
        <f>IF('Model inputs'!P30="","",'Model inputs'!P30)</f>
        <v>0</v>
      </c>
      <c r="Q131" s="14">
        <f>IF('Model inputs'!Q30="","",'Model inputs'!Q30)</f>
        <v>0</v>
      </c>
      <c r="R131" s="14">
        <f>IF('Model inputs'!R30="","",'Model inputs'!R30)</f>
        <v>0</v>
      </c>
      <c r="S131" s="14">
        <f>IF('Model inputs'!S30="","",'Model inputs'!S30)</f>
        <v>0</v>
      </c>
      <c r="T131" s="14">
        <f>IF('Model inputs'!T30="","",'Model inputs'!T30)</f>
        <v>0</v>
      </c>
      <c r="U131" s="14">
        <f>IF('Model inputs'!U30="","",'Model inputs'!U30)</f>
        <v>0</v>
      </c>
      <c r="V131" s="14">
        <f>IF('Model inputs'!V30="","",'Model inputs'!V30)</f>
        <v>0</v>
      </c>
      <c r="W131" s="14">
        <f>IF('Model inputs'!W30="","",'Model inputs'!W30)</f>
        <v>0</v>
      </c>
      <c r="X131" s="14">
        <f>IF('Model inputs'!X30="","",'Model inputs'!X30)</f>
        <v>0</v>
      </c>
      <c r="Y131" s="14">
        <f>IF('Model inputs'!Y30="","",'Model inputs'!Y30)</f>
        <v>0</v>
      </c>
      <c r="Z131" s="14">
        <f>IF('Model inputs'!Z30="","",'Model inputs'!Z30)</f>
        <v>0</v>
      </c>
      <c r="AA131" s="14">
        <f>IF('Model inputs'!AA30="","",'Model inputs'!AA30)</f>
        <v>0</v>
      </c>
    </row>
    <row r="132" outlineLevel="1">
      <c r="A132" t="inlineStr" s="19">
        <is>
          <t xml:space="preserve">Founder payroll &gt; Harsh — founder</t>
        </is>
      </c>
      <c r="B132" s="9">
        <f>'Model inputs'!B142*'Model inputs'!AB146*(1+'Model inputs'!AB156)</f>
        <v>0</v>
      </c>
      <c r="D132" s="9">
        <f>'Model inputs'!D142*'Model inputs'!AB146*(1+'Model inputs'!AB156)</f>
        <v>0</v>
      </c>
      <c r="E132" s="9">
        <f>'Model inputs'!E142*'Model inputs'!AB146*(1+'Model inputs'!AB156)</f>
        <v>0</v>
      </c>
      <c r="F132" s="9">
        <f>'Model inputs'!F142*'Model inputs'!AB146*(1+'Model inputs'!AB156)</f>
        <v>0</v>
      </c>
      <c r="G132" s="9">
        <f>'Model inputs'!G142*'Model inputs'!AB146*(1+'Model inputs'!AB156)</f>
        <v>0</v>
      </c>
      <c r="H132" s="9">
        <f>'Model inputs'!H142*'Model inputs'!AB146*(1+'Model inputs'!AB156)</f>
        <v>0</v>
      </c>
      <c r="I132" s="9">
        <f>'Model inputs'!I142*'Model inputs'!AB146*(1+'Model inputs'!AB156)</f>
        <v>0</v>
      </c>
      <c r="J132" s="9">
        <f>'Model inputs'!J142*'Model inputs'!AB146*(1+'Model inputs'!AB156)</f>
        <v>0</v>
      </c>
      <c r="K132" s="9">
        <f>'Model inputs'!K142*'Model inputs'!AB146*(1+'Model inputs'!AB156)</f>
        <v>0</v>
      </c>
      <c r="L132" s="9">
        <f>'Model inputs'!L142*'Model inputs'!AB146*(1+'Model inputs'!AB156)</f>
        <v>0</v>
      </c>
      <c r="M132" s="9">
        <f>'Model inputs'!M142*'Model inputs'!AB146*(1+'Model inputs'!AB156)</f>
        <v>0</v>
      </c>
      <c r="N132" s="9">
        <f>'Model inputs'!N142*'Model inputs'!AB146*(1+'Model inputs'!AB156)</f>
        <v>0</v>
      </c>
      <c r="O132" s="9">
        <f>'Model inputs'!O142*'Model inputs'!AB146*(1+'Model inputs'!AB156)</f>
        <v>0</v>
      </c>
      <c r="P132" s="9">
        <f>'Model inputs'!P142*'Model inputs'!AB146*(1+'Model inputs'!AB156)</f>
        <v>0</v>
      </c>
      <c r="Q132" s="9">
        <f>'Model inputs'!Q142*'Model inputs'!AB146*(1+'Model inputs'!AB156)</f>
        <v>0</v>
      </c>
      <c r="R132" s="9">
        <f>'Model inputs'!R142*'Model inputs'!AB146*(1+'Model inputs'!AB156)</f>
        <v>0</v>
      </c>
      <c r="S132" s="9">
        <f>'Model inputs'!S142*'Model inputs'!AB146*(1+'Model inputs'!AB156)</f>
        <v>0</v>
      </c>
      <c r="T132" s="9">
        <f>'Model inputs'!T142*'Model inputs'!AB146*(1+'Model inputs'!AB156)</f>
        <v>0</v>
      </c>
      <c r="U132" s="9">
        <f>'Model inputs'!U142*'Model inputs'!AB146*(1+'Model inputs'!AB156)</f>
        <v>0</v>
      </c>
      <c r="V132" s="9">
        <f>'Model inputs'!V142*'Model inputs'!AB146*(1+'Model inputs'!AB156)</f>
        <v>0</v>
      </c>
      <c r="W132" s="9">
        <f>'Model inputs'!W142*'Model inputs'!AB146*(1+'Model inputs'!AB156)</f>
        <v>0</v>
      </c>
      <c r="X132" s="9">
        <f>'Model inputs'!X142*'Model inputs'!AB146*(1+'Model inputs'!AB156)</f>
        <v>0</v>
      </c>
      <c r="Y132" s="9">
        <f>'Model inputs'!Y142*'Model inputs'!AB146*(1+'Model inputs'!AB156)</f>
        <v>0</v>
      </c>
      <c r="Z132" s="9">
        <f>'Model inputs'!Z142*'Model inputs'!AB146*(1+'Model inputs'!AB156)</f>
        <v>0</v>
      </c>
      <c r="AA132" s="9">
        <f>'Model inputs'!AA130</f>
        <v>0</v>
      </c>
    </row>
    <row r="133">
      <c r="A133" t="inlineStr" s="18">
        <is>
          <t xml:space="preserve">Compute costs · Base and upside comparison</t>
        </is>
      </c>
      <c r="B133" s="9">
        <f>IF('Model inputs'!B17="","",'Model inputs'!B17)</f>
        <v>19.446926876042266</v>
      </c>
      <c r="D133" s="9">
        <f>IF('Model inputs'!D17="","",'Model inputs'!D17)</f>
        <v>0.6000000000000001</v>
      </c>
      <c r="E133" s="9">
        <f>IF('Model inputs'!E17="","",'Model inputs'!E17)</f>
        <v>1.2000000000000002</v>
      </c>
      <c r="F133" s="9">
        <f>IF('Model inputs'!F17="","",'Model inputs'!F17)</f>
        <v>1.8000000000000003</v>
      </c>
      <c r="G133" s="9">
        <f>IF('Model inputs'!G17="","",'Model inputs'!G17)</f>
        <v>2.016</v>
      </c>
      <c r="H133" s="9">
        <f>IF('Model inputs'!H17="","",'Model inputs'!H17)</f>
        <v>2.2579200000000004</v>
      </c>
      <c r="I133" s="9">
        <f>IF('Model inputs'!I17="","",'Model inputs'!I17)</f>
        <v>2.5288704000000006</v>
      </c>
      <c r="J133" s="9">
        <f>IF('Model inputs'!J17="","",'Model inputs'!J17)</f>
        <v>2.8323348480000003</v>
      </c>
      <c r="K133" s="9">
        <f>IF('Model inputs'!K17="","",'Model inputs'!K17)</f>
        <v>3.1722150297600002</v>
      </c>
      <c r="L133" s="9">
        <f>IF('Model inputs'!L17="","",'Model inputs'!L17)</f>
        <v>3.5528808333311996</v>
      </c>
      <c r="M133" s="9">
        <f>IF('Model inputs'!M17="","",'Model inputs'!M17)</f>
        <v>3.9792265333309436</v>
      </c>
      <c r="N133" s="9">
        <f>IF('Model inputs'!N17="","",'Model inputs'!N17)</f>
        <v>4.456733717330657</v>
      </c>
      <c r="O133" s="9">
        <f>IF('Model inputs'!O17="","",'Model inputs'!O17)</f>
        <v>4.991541763410336</v>
      </c>
      <c r="P133" s="9">
        <f>IF('Model inputs'!P17="","",'Model inputs'!P17)</f>
        <v>5.590526775019576</v>
      </c>
      <c r="Q133" s="9">
        <f>IF('Model inputs'!Q17="","",'Model inputs'!Q17)</f>
        <v>6.261389988021925</v>
      </c>
      <c r="R133" s="9">
        <f>IF('Model inputs'!R17="","",'Model inputs'!R17)</f>
        <v>7.012756786584556</v>
      </c>
      <c r="S133" s="9">
        <f>IF('Model inputs'!S17="","",'Model inputs'!S17)</f>
        <v>7.854287600974702</v>
      </c>
      <c r="T133" s="9">
        <f>IF('Model inputs'!T17="","",'Model inputs'!T17)</f>
        <v>8.796802113091667</v>
      </c>
      <c r="U133" s="9">
        <f>IF('Model inputs'!U17="","",'Model inputs'!U17)</f>
        <v>9.852418366662668</v>
      </c>
      <c r="V133" s="9">
        <f>IF('Model inputs'!V17="","",'Model inputs'!V17)</f>
        <v>11.034708570662186</v>
      </c>
      <c r="W133" s="9">
        <f>IF('Model inputs'!W17="","",'Model inputs'!W17)</f>
        <v>12.35887359914165</v>
      </c>
      <c r="X133" s="9">
        <f>IF('Model inputs'!X17="","",'Model inputs'!X17)</f>
        <v>13.841938431038647</v>
      </c>
      <c r="Y133" s="9">
        <f>IF('Model inputs'!Y17="","",'Model inputs'!Y17)</f>
        <v>15.502971042763285</v>
      </c>
      <c r="Z133" s="9">
        <f>IF('Model inputs'!Z17="","",'Model inputs'!Z17)</f>
        <v>17.36332756789488</v>
      </c>
      <c r="AA133" s="9">
        <v>0</v>
      </c>
    </row>
    <row r="134">
      <c r="A134" t="inlineStr" s="18">
        <is>
          <t xml:space="preserve">Breaking migrations per repo · Breaking jobs · Base and upside comparison · Main Scenario · Main Scenario</t>
        </is>
      </c>
      <c r="AB134" s="10">
        <f>'Model inputs'!C8</f>
        <v>1</v>
      </c>
    </row>
    <row r="135">
      <c r="A135" t="inlineStr" s="18">
        <is>
          <t xml:space="preserve">Breaking migrations per repo · Breaking jobs · Base and upside comparison · Upshift — Upside · Upshift — Upside</t>
        </is>
      </c>
      <c r="AB135" s="10">
        <f>'Model inputs'!C8</f>
        <v>1</v>
      </c>
    </row>
    <row r="136">
      <c r="A136" t="inlineStr" s="18">
        <is>
          <t xml:space="preserve">Combined stress cost · Cash at combined stress · Cash at combined stress</t>
        </is>
      </c>
      <c r="B136" s="9">
        <f>'Model inputs'!B137+('Model inputs'!B169-'Model inputs'!B61)*'Model inputs'!C54</f>
        <v>561.8001097523321</v>
      </c>
      <c r="D136" s="9">
        <f>'Model inputs'!D137+('Model inputs'!D169-'Model inputs'!D61)*'Model inputs'!C54</f>
        <v>17.333333333333336</v>
      </c>
      <c r="E136" s="9">
        <f>'Model inputs'!E137+('Model inputs'!E169-'Model inputs'!E61)*'Model inputs'!C54</f>
        <v>34.66666666666667</v>
      </c>
      <c r="F136" s="9">
        <f>'Model inputs'!F137+('Model inputs'!F169-'Model inputs'!F61)*'Model inputs'!C54</f>
        <v>52.000000000000014</v>
      </c>
      <c r="G136" s="9">
        <f>'Model inputs'!G137+('Model inputs'!G169-'Model inputs'!G61)*'Model inputs'!C54</f>
        <v>58.24000000000001</v>
      </c>
      <c r="H136" s="9">
        <f>'Model inputs'!H137+('Model inputs'!H169-'Model inputs'!H61)*'Model inputs'!C54</f>
        <v>65.2288</v>
      </c>
      <c r="I136" s="9">
        <f>'Model inputs'!I137+('Model inputs'!I169-'Model inputs'!I61)*'Model inputs'!C54</f>
        <v>73.056256</v>
      </c>
      <c r="J136" s="9">
        <f>'Model inputs'!J137+('Model inputs'!J169-'Model inputs'!J61)*'Model inputs'!C54</f>
        <v>81.82300672</v>
      </c>
      <c r="K136" s="9">
        <f>'Model inputs'!K137+('Model inputs'!K169-'Model inputs'!K61)*'Model inputs'!C54</f>
        <v>91.6417675264</v>
      </c>
      <c r="L136" s="9">
        <f>'Model inputs'!L137+('Model inputs'!L169-'Model inputs'!L61)*'Model inputs'!C54</f>
        <v>102.63877962956798</v>
      </c>
      <c r="M136" s="9">
        <f>'Model inputs'!M137+('Model inputs'!M169-'Model inputs'!M61)*'Model inputs'!C54</f>
        <v>114.95543318511615</v>
      </c>
      <c r="N136" s="9">
        <f>'Model inputs'!N137+('Model inputs'!N169-'Model inputs'!N61)*'Model inputs'!C54</f>
        <v>128.7500851673301</v>
      </c>
      <c r="O136" s="9">
        <f>'Model inputs'!O137+('Model inputs'!O169-'Model inputs'!O61)*'Model inputs'!C54</f>
        <v>144.2000953874097</v>
      </c>
      <c r="P136" s="9">
        <f>'Model inputs'!P137+('Model inputs'!P169-'Model inputs'!P61)*'Model inputs'!C54</f>
        <v>161.50410683389885</v>
      </c>
      <c r="Q136" s="9">
        <f>'Model inputs'!Q137+('Model inputs'!Q169-'Model inputs'!Q61)*'Model inputs'!C54</f>
        <v>180.8845996539667</v>
      </c>
      <c r="R136" s="9">
        <f>'Model inputs'!R137+('Model inputs'!R169-'Model inputs'!R61)*'Model inputs'!C54</f>
        <v>202.59075161244272</v>
      </c>
      <c r="S136" s="9">
        <f>'Model inputs'!S137+('Model inputs'!S169-'Model inputs'!S61)*'Model inputs'!C54</f>
        <v>226.90164180593584</v>
      </c>
      <c r="T136" s="9">
        <f>'Model inputs'!T137+('Model inputs'!T169-'Model inputs'!T61)*'Model inputs'!C54</f>
        <v>254.12983882264814</v>
      </c>
      <c r="U136" s="9">
        <f>'Model inputs'!U137+('Model inputs'!U169-'Model inputs'!U61)*'Model inputs'!C54</f>
        <v>284.62541948136595</v>
      </c>
      <c r="V136" s="9">
        <f>'Model inputs'!V137+('Model inputs'!V169-'Model inputs'!V61)*'Model inputs'!C54</f>
        <v>318.78046981912985</v>
      </c>
      <c r="W136" s="9">
        <f>'Model inputs'!W137+('Model inputs'!W169-'Model inputs'!W61)*'Model inputs'!C54</f>
        <v>357.0341261974254</v>
      </c>
      <c r="X136" s="9">
        <f>'Model inputs'!X137+('Model inputs'!X169-'Model inputs'!X61)*'Model inputs'!C54</f>
        <v>399.87822134111644</v>
      </c>
      <c r="Y136" s="9">
        <f>'Model inputs'!Y137+('Model inputs'!Y169-'Model inputs'!Y61)*'Model inputs'!C54</f>
        <v>447.8636079020504</v>
      </c>
      <c r="Z136" s="9">
        <f>'Model inputs'!Z137+('Model inputs'!Z169-'Model inputs'!Z61)*'Model inputs'!C54</f>
        <v>501.60724085029653</v>
      </c>
      <c r="AA136" s="9">
        <v>0</v>
      </c>
    </row>
    <row r="137">
      <c r="A137" t="inlineStr" s="18">
        <is>
          <t xml:space="preserve">Cost at stress migration cost · Cash at stress migration cost · Cash at stress migration cost</t>
        </is>
      </c>
      <c r="B137" s="9">
        <f>'Model inputs'!B82+'Model inputs'!B72*('Model inputs'!AB182-'Model inputs'!C9)</f>
        <v>561.8001097523321</v>
      </c>
      <c r="D137" s="9">
        <f>'Model inputs'!D82+'Model inputs'!D72*('Model inputs'!AB182-'Model inputs'!C9)</f>
        <v>17.333333333333336</v>
      </c>
      <c r="E137" s="9">
        <f>'Model inputs'!E82+'Model inputs'!E72*('Model inputs'!AB182-'Model inputs'!C9)</f>
        <v>34.66666666666667</v>
      </c>
      <c r="F137" s="9">
        <f>'Model inputs'!F82+'Model inputs'!F72*('Model inputs'!AB182-'Model inputs'!C9)</f>
        <v>52.000000000000014</v>
      </c>
      <c r="G137" s="9">
        <f>'Model inputs'!G82+'Model inputs'!G72*('Model inputs'!AB182-'Model inputs'!C9)</f>
        <v>58.24000000000001</v>
      </c>
      <c r="H137" s="9">
        <f>'Model inputs'!H82+'Model inputs'!H72*('Model inputs'!AB182-'Model inputs'!C9)</f>
        <v>65.2288</v>
      </c>
      <c r="I137" s="9">
        <f>'Model inputs'!I82+'Model inputs'!I72*('Model inputs'!AB182-'Model inputs'!C9)</f>
        <v>73.056256</v>
      </c>
      <c r="J137" s="9">
        <f>'Model inputs'!J82+'Model inputs'!J72*('Model inputs'!AB182-'Model inputs'!C9)</f>
        <v>81.82300672</v>
      </c>
      <c r="K137" s="9">
        <f>'Model inputs'!K82+'Model inputs'!K72*('Model inputs'!AB182-'Model inputs'!C9)</f>
        <v>91.6417675264</v>
      </c>
      <c r="L137" s="9">
        <f>'Model inputs'!L82+'Model inputs'!L72*('Model inputs'!AB182-'Model inputs'!C9)</f>
        <v>102.63877962956798</v>
      </c>
      <c r="M137" s="9">
        <f>'Model inputs'!M82+'Model inputs'!M72*('Model inputs'!AB182-'Model inputs'!C9)</f>
        <v>114.95543318511615</v>
      </c>
      <c r="N137" s="9">
        <f>'Model inputs'!N82+'Model inputs'!N72*('Model inputs'!AB182-'Model inputs'!C9)</f>
        <v>128.7500851673301</v>
      </c>
      <c r="O137" s="9">
        <f>'Model inputs'!O82+'Model inputs'!O72*('Model inputs'!AB182-'Model inputs'!C9)</f>
        <v>144.2000953874097</v>
      </c>
      <c r="P137" s="9">
        <f>'Model inputs'!P82+'Model inputs'!P72*('Model inputs'!AB182-'Model inputs'!C9)</f>
        <v>161.50410683389885</v>
      </c>
      <c r="Q137" s="9">
        <f>'Model inputs'!Q82+'Model inputs'!Q72*('Model inputs'!AB182-'Model inputs'!C9)</f>
        <v>180.8845996539667</v>
      </c>
      <c r="R137" s="9">
        <f>'Model inputs'!R82+'Model inputs'!R72*('Model inputs'!AB182-'Model inputs'!C9)</f>
        <v>202.59075161244272</v>
      </c>
      <c r="S137" s="9">
        <f>'Model inputs'!S82+'Model inputs'!S72*('Model inputs'!AB182-'Model inputs'!C9)</f>
        <v>226.90164180593584</v>
      </c>
      <c r="T137" s="9">
        <f>'Model inputs'!T82+'Model inputs'!T72*('Model inputs'!AB182-'Model inputs'!C9)</f>
        <v>254.12983882264814</v>
      </c>
      <c r="U137" s="9">
        <f>'Model inputs'!U82+'Model inputs'!U72*('Model inputs'!AB182-'Model inputs'!C9)</f>
        <v>284.62541948136595</v>
      </c>
      <c r="V137" s="9">
        <f>'Model inputs'!V82+'Model inputs'!V72*('Model inputs'!AB182-'Model inputs'!C9)</f>
        <v>318.78046981912985</v>
      </c>
      <c r="W137" s="9">
        <f>'Model inputs'!W82+'Model inputs'!W72*('Model inputs'!AB182-'Model inputs'!C9)</f>
        <v>357.0341261974254</v>
      </c>
      <c r="X137" s="9">
        <f>'Model inputs'!X82+'Model inputs'!X72*('Model inputs'!AB182-'Model inputs'!C9)</f>
        <v>399.87822134111644</v>
      </c>
      <c r="Y137" s="9">
        <f>'Model inputs'!Y82+'Model inputs'!Y72*('Model inputs'!AB182-'Model inputs'!C9)</f>
        <v>447.8636079020504</v>
      </c>
      <c r="Z137" s="9">
        <f>'Model inputs'!Z82+'Model inputs'!Z72*('Model inputs'!AB182-'Model inputs'!C9)</f>
        <v>501.60724085029653</v>
      </c>
      <c r="AA137" s="9">
        <v>0</v>
      </c>
    </row>
    <row r="138">
      <c r="A138" t="inlineStr" s="18">
        <is>
          <t xml:space="preserve">Cost at stress price · Cash at stress price · Cash at stress price</t>
        </is>
      </c>
      <c r="B138" s="9">
        <f>'Model inputs'!B82+('Model inputs'!B169-'Model inputs'!B61)*'Model inputs'!C54</f>
        <v>237.68466181829433</v>
      </c>
      <c r="D138" s="9">
        <f>'Model inputs'!D82+('Model inputs'!D169-'Model inputs'!D61)*'Model inputs'!C54</f>
        <v>7.333333333333334</v>
      </c>
      <c r="E138" s="9">
        <f>'Model inputs'!E82+('Model inputs'!E169-'Model inputs'!E61)*'Model inputs'!C54</f>
        <v>14.666666666666668</v>
      </c>
      <c r="F138" s="9">
        <f>'Model inputs'!F82+('Model inputs'!F169-'Model inputs'!F61)*'Model inputs'!C54</f>
        <v>22.000000000000004</v>
      </c>
      <c r="G138" s="9">
        <f>'Model inputs'!G82+('Model inputs'!G169-'Model inputs'!G61)*'Model inputs'!C54</f>
        <v>24.640000000000004</v>
      </c>
      <c r="H138" s="9">
        <f>'Model inputs'!H82+('Model inputs'!H169-'Model inputs'!H61)*'Model inputs'!C54</f>
        <v>27.596799999999998</v>
      </c>
      <c r="I138" s="9">
        <f>'Model inputs'!I82+('Model inputs'!I169-'Model inputs'!I61)*'Model inputs'!C54</f>
        <v>30.908416000000003</v>
      </c>
      <c r="J138" s="9">
        <f>'Model inputs'!J82+('Model inputs'!J169-'Model inputs'!J61)*'Model inputs'!C54</f>
        <v>34.61742592</v>
      </c>
      <c r="K138" s="9">
        <f>'Model inputs'!K82+('Model inputs'!K169-'Model inputs'!K61)*'Model inputs'!C54</f>
        <v>38.771517030400005</v>
      </c>
      <c r="L138" s="9">
        <f>'Model inputs'!L82+('Model inputs'!L169-'Model inputs'!L61)*'Model inputs'!C54</f>
        <v>43.424099074047994</v>
      </c>
      <c r="M138" s="9">
        <f>'Model inputs'!M82+('Model inputs'!M169-'Model inputs'!M61)*'Model inputs'!C54</f>
        <v>48.634990962933756</v>
      </c>
      <c r="N138" s="9">
        <f>'Model inputs'!N82+('Model inputs'!N169-'Model inputs'!N61)*'Model inputs'!C54</f>
        <v>54.4711898784858</v>
      </c>
      <c r="O138" s="9">
        <f>'Model inputs'!O82+('Model inputs'!O169-'Model inputs'!O61)*'Model inputs'!C54</f>
        <v>61.0077326639041</v>
      </c>
      <c r="P138" s="9">
        <f>'Model inputs'!P82+('Model inputs'!P169-'Model inputs'!P61)*'Model inputs'!C54</f>
        <v>68.3286605835726</v>
      </c>
      <c r="Q138" s="9">
        <f>'Model inputs'!Q82+('Model inputs'!Q169-'Model inputs'!Q61)*'Model inputs'!C54</f>
        <v>76.52809985360129</v>
      </c>
      <c r="R138" s="9">
        <f>'Model inputs'!R82+('Model inputs'!R169-'Model inputs'!R61)*'Model inputs'!C54</f>
        <v>85.71147183603347</v>
      </c>
      <c r="S138" s="9">
        <f>'Model inputs'!S82+('Model inputs'!S169-'Model inputs'!S61)*'Model inputs'!C54</f>
        <v>95.99684845635747</v>
      </c>
      <c r="T138" s="9">
        <f>'Model inputs'!T82+('Model inputs'!T169-'Model inputs'!T61)*'Model inputs'!C54</f>
        <v>107.51647027112038</v>
      </c>
      <c r="U138" s="9">
        <f>'Model inputs'!U82+('Model inputs'!U169-'Model inputs'!U61)*'Model inputs'!C54</f>
        <v>120.41844670365481</v>
      </c>
      <c r="V138" s="9">
        <f>'Model inputs'!V82+('Model inputs'!V169-'Model inputs'!V61)*'Model inputs'!C54</f>
        <v>134.86866030809338</v>
      </c>
      <c r="W138" s="9">
        <f>'Model inputs'!W82+('Model inputs'!W169-'Model inputs'!W61)*'Model inputs'!C54</f>
        <v>151.0528995450646</v>
      </c>
      <c r="X138" s="9">
        <f>'Model inputs'!X82+('Model inputs'!X169-'Model inputs'!X61)*'Model inputs'!C54</f>
        <v>169.17924749047233</v>
      </c>
      <c r="Y138" s="9">
        <f>'Model inputs'!Y82+('Model inputs'!Y169-'Model inputs'!Y61)*'Model inputs'!C54</f>
        <v>189.480757189329</v>
      </c>
      <c r="Z138" s="9">
        <f>'Model inputs'!Z82+('Model inputs'!Z169-'Model inputs'!Z61)*'Model inputs'!C54</f>
        <v>212.21844805204853</v>
      </c>
      <c r="AA138" s="9">
        <v>0</v>
      </c>
    </row>
    <row r="139">
      <c r="A139" t="inlineStr" s="18">
        <is>
          <t xml:space="preserve">Founder headcount</t>
        </is>
      </c>
      <c r="B139" s="12">
        <f>SUM('Model inputs'!B140)</f>
        <v>1</v>
      </c>
      <c r="D139" s="12">
        <f>SUM('Model inputs'!D140)</f>
        <v>1</v>
      </c>
      <c r="E139" s="12">
        <f>SUM('Model inputs'!E140)</f>
        <v>1</v>
      </c>
      <c r="F139" s="12">
        <f>SUM('Model inputs'!F140)</f>
        <v>1</v>
      </c>
      <c r="G139" s="12">
        <f>SUM('Model inputs'!G140)</f>
        <v>1</v>
      </c>
      <c r="H139" s="12">
        <f>SUM('Model inputs'!H140)</f>
        <v>1</v>
      </c>
      <c r="I139" s="12">
        <f>SUM('Model inputs'!I140)</f>
        <v>1</v>
      </c>
      <c r="J139" s="12">
        <f>SUM('Model inputs'!J140)</f>
        <v>1</v>
      </c>
      <c r="K139" s="12">
        <f>SUM('Model inputs'!K140)</f>
        <v>1</v>
      </c>
      <c r="L139" s="12">
        <f>SUM('Model inputs'!L140)</f>
        <v>1</v>
      </c>
      <c r="M139" s="12">
        <f>SUM('Model inputs'!M140)</f>
        <v>1</v>
      </c>
      <c r="N139" s="12">
        <f>SUM('Model inputs'!N140)</f>
        <v>1</v>
      </c>
      <c r="O139" s="12">
        <f>SUM('Model inputs'!O140)</f>
        <v>1</v>
      </c>
      <c r="P139" s="12">
        <f>SUM('Model inputs'!P140)</f>
        <v>1</v>
      </c>
      <c r="Q139" s="12">
        <f>SUM('Model inputs'!Q140)</f>
        <v>1</v>
      </c>
      <c r="R139" s="12">
        <f>SUM('Model inputs'!R140)</f>
        <v>1</v>
      </c>
      <c r="S139" s="12">
        <f>SUM('Model inputs'!S140)</f>
        <v>1</v>
      </c>
      <c r="T139" s="12">
        <f>SUM('Model inputs'!T140)</f>
        <v>1</v>
      </c>
      <c r="U139" s="12">
        <f>SUM('Model inputs'!U140)</f>
        <v>1</v>
      </c>
      <c r="V139" s="12">
        <f>SUM('Model inputs'!V140)</f>
        <v>1</v>
      </c>
      <c r="W139" s="12">
        <f>SUM('Model inputs'!W140)</f>
        <v>1</v>
      </c>
      <c r="X139" s="12">
        <f>SUM('Model inputs'!X140)</f>
        <v>1</v>
      </c>
      <c r="Y139" s="12">
        <f>SUM('Model inputs'!Y140)</f>
        <v>1</v>
      </c>
      <c r="Z139" s="12">
        <f>SUM('Model inputs'!Z140)</f>
        <v>1</v>
      </c>
      <c r="AA139" s="12">
        <f>SUM('Model inputs'!AA140)</f>
        <v>0</v>
      </c>
    </row>
    <row r="140" outlineLevel="1">
      <c r="A140" t="inlineStr" s="19">
        <is>
          <t xml:space="preserve">Founder headcount &gt; Harsh — founder</t>
        </is>
      </c>
      <c r="B140" s="10">
        <f>IF(IF(IF(ISERROR('Model inputs'!AB179&lt;=EOMONTH(DATE(2028,9,1),0)),'Model inputs'!AB179&lt;=EOMONTH(DATE(2028,9,1),0),IF('Model inputs'!AB179="","",'Model inputs'!AB179&lt;=EOMONTH(DATE(2028,9,1),0)))="",FALSE,IF(ISERROR('Model inputs'!AB179&lt;=EOMONTH(DATE(2028,9,1),0)),'Model inputs'!AB179&lt;=EOMONTH(DATE(2028,9,1),0),IF('Model inputs'!AB179="","",'Model inputs'!AB179&lt;=EOMONTH(DATE(2028,9,1),0)))),1,0)</f>
        <v>1</v>
      </c>
      <c r="D140" s="10">
        <f>IF(IF(IF(ISERROR('Model inputs'!AB179&lt;=EOMONTH(DATE(2026,10,1),0)),'Model inputs'!AB179&lt;=EOMONTH(DATE(2026,10,1),0),IF('Model inputs'!AB179="","",'Model inputs'!AB179&lt;=EOMONTH(DATE(2026,10,1),0)))="",FALSE,IF(ISERROR('Model inputs'!AB179&lt;=EOMONTH(DATE(2026,10,1),0)),'Model inputs'!AB179&lt;=EOMONTH(DATE(2026,10,1),0),IF('Model inputs'!AB179="","",'Model inputs'!AB179&lt;=EOMONTH(DATE(2026,10,1),0)))),1,0)</f>
        <v>1</v>
      </c>
      <c r="E140" s="10">
        <f>IF(IF(IF(ISERROR('Model inputs'!AB179&lt;=EOMONTH(DATE(2026,11,1),0)),'Model inputs'!AB179&lt;=EOMONTH(DATE(2026,11,1),0),IF('Model inputs'!AB179="","",'Model inputs'!AB179&lt;=EOMONTH(DATE(2026,11,1),0)))="",FALSE,IF(ISERROR('Model inputs'!AB179&lt;=EOMONTH(DATE(2026,11,1),0)),'Model inputs'!AB179&lt;=EOMONTH(DATE(2026,11,1),0),IF('Model inputs'!AB179="","",'Model inputs'!AB179&lt;=EOMONTH(DATE(2026,11,1),0)))),1,0)</f>
        <v>1</v>
      </c>
      <c r="F140" s="10">
        <f>IF(IF(IF(ISERROR('Model inputs'!AB179&lt;=EOMONTH(DATE(2026,12,1),0)),'Model inputs'!AB179&lt;=EOMONTH(DATE(2026,12,1),0),IF('Model inputs'!AB179="","",'Model inputs'!AB179&lt;=EOMONTH(DATE(2026,12,1),0)))="",FALSE,IF(ISERROR('Model inputs'!AB179&lt;=EOMONTH(DATE(2026,12,1),0)),'Model inputs'!AB179&lt;=EOMONTH(DATE(2026,12,1),0),IF('Model inputs'!AB179="","",'Model inputs'!AB179&lt;=EOMONTH(DATE(2026,12,1),0)))),1,0)</f>
        <v>1</v>
      </c>
      <c r="G140" s="10">
        <f>IF(IF(IF(ISERROR('Model inputs'!AB179&lt;=EOMONTH(DATE(2027,1,1),0)),'Model inputs'!AB179&lt;=EOMONTH(DATE(2027,1,1),0),IF('Model inputs'!AB179="","",'Model inputs'!AB179&lt;=EOMONTH(DATE(2027,1,1),0)))="",FALSE,IF(ISERROR('Model inputs'!AB179&lt;=EOMONTH(DATE(2027,1,1),0)),'Model inputs'!AB179&lt;=EOMONTH(DATE(2027,1,1),0),IF('Model inputs'!AB179="","",'Model inputs'!AB179&lt;=EOMONTH(DATE(2027,1,1),0)))),1,0)</f>
        <v>1</v>
      </c>
      <c r="H140" s="10">
        <f>IF(IF(IF(ISERROR('Model inputs'!AB179&lt;=EOMONTH(DATE(2027,2,1),0)),'Model inputs'!AB179&lt;=EOMONTH(DATE(2027,2,1),0),IF('Model inputs'!AB179="","",'Model inputs'!AB179&lt;=EOMONTH(DATE(2027,2,1),0)))="",FALSE,IF(ISERROR('Model inputs'!AB179&lt;=EOMONTH(DATE(2027,2,1),0)),'Model inputs'!AB179&lt;=EOMONTH(DATE(2027,2,1),0),IF('Model inputs'!AB179="","",'Model inputs'!AB179&lt;=EOMONTH(DATE(2027,2,1),0)))),1,0)</f>
        <v>1</v>
      </c>
      <c r="I140" s="10">
        <f>IF(IF(IF(ISERROR('Model inputs'!AB179&lt;=EOMONTH(DATE(2027,3,1),0)),'Model inputs'!AB179&lt;=EOMONTH(DATE(2027,3,1),0),IF('Model inputs'!AB179="","",'Model inputs'!AB179&lt;=EOMONTH(DATE(2027,3,1),0)))="",FALSE,IF(ISERROR('Model inputs'!AB179&lt;=EOMONTH(DATE(2027,3,1),0)),'Model inputs'!AB179&lt;=EOMONTH(DATE(2027,3,1),0),IF('Model inputs'!AB179="","",'Model inputs'!AB179&lt;=EOMONTH(DATE(2027,3,1),0)))),1,0)</f>
        <v>1</v>
      </c>
      <c r="J140" s="10">
        <f>IF(IF(IF(ISERROR('Model inputs'!AB179&lt;=EOMONTH(DATE(2027,4,1),0)),'Model inputs'!AB179&lt;=EOMONTH(DATE(2027,4,1),0),IF('Model inputs'!AB179="","",'Model inputs'!AB179&lt;=EOMONTH(DATE(2027,4,1),0)))="",FALSE,IF(ISERROR('Model inputs'!AB179&lt;=EOMONTH(DATE(2027,4,1),0)),'Model inputs'!AB179&lt;=EOMONTH(DATE(2027,4,1),0),IF('Model inputs'!AB179="","",'Model inputs'!AB179&lt;=EOMONTH(DATE(2027,4,1),0)))),1,0)</f>
        <v>1</v>
      </c>
      <c r="K140" s="10">
        <f>IF(IF(IF(ISERROR('Model inputs'!AB179&lt;=EOMONTH(DATE(2027,5,1),0)),'Model inputs'!AB179&lt;=EOMONTH(DATE(2027,5,1),0),IF('Model inputs'!AB179="","",'Model inputs'!AB179&lt;=EOMONTH(DATE(2027,5,1),0)))="",FALSE,IF(ISERROR('Model inputs'!AB179&lt;=EOMONTH(DATE(2027,5,1),0)),'Model inputs'!AB179&lt;=EOMONTH(DATE(2027,5,1),0),IF('Model inputs'!AB179="","",'Model inputs'!AB179&lt;=EOMONTH(DATE(2027,5,1),0)))),1,0)</f>
        <v>1</v>
      </c>
      <c r="L140" s="10">
        <f>IF(IF(IF(ISERROR('Model inputs'!AB179&lt;=EOMONTH(DATE(2027,6,1),0)),'Model inputs'!AB179&lt;=EOMONTH(DATE(2027,6,1),0),IF('Model inputs'!AB179="","",'Model inputs'!AB179&lt;=EOMONTH(DATE(2027,6,1),0)))="",FALSE,IF(ISERROR('Model inputs'!AB179&lt;=EOMONTH(DATE(2027,6,1),0)),'Model inputs'!AB179&lt;=EOMONTH(DATE(2027,6,1),0),IF('Model inputs'!AB179="","",'Model inputs'!AB179&lt;=EOMONTH(DATE(2027,6,1),0)))),1,0)</f>
        <v>1</v>
      </c>
      <c r="M140" s="10">
        <f>IF(IF(IF(ISERROR('Model inputs'!AB179&lt;=EOMONTH(DATE(2027,7,1),0)),'Model inputs'!AB179&lt;=EOMONTH(DATE(2027,7,1),0),IF('Model inputs'!AB179="","",'Model inputs'!AB179&lt;=EOMONTH(DATE(2027,7,1),0)))="",FALSE,IF(ISERROR('Model inputs'!AB179&lt;=EOMONTH(DATE(2027,7,1),0)),'Model inputs'!AB179&lt;=EOMONTH(DATE(2027,7,1),0),IF('Model inputs'!AB179="","",'Model inputs'!AB179&lt;=EOMONTH(DATE(2027,7,1),0)))),1,0)</f>
        <v>1</v>
      </c>
      <c r="N140" s="10">
        <f>IF(IF(IF(ISERROR('Model inputs'!AB179&lt;=EOMONTH(DATE(2027,8,1),0)),'Model inputs'!AB179&lt;=EOMONTH(DATE(2027,8,1),0),IF('Model inputs'!AB179="","",'Model inputs'!AB179&lt;=EOMONTH(DATE(2027,8,1),0)))="",FALSE,IF(ISERROR('Model inputs'!AB179&lt;=EOMONTH(DATE(2027,8,1),0)),'Model inputs'!AB179&lt;=EOMONTH(DATE(2027,8,1),0),IF('Model inputs'!AB179="","",'Model inputs'!AB179&lt;=EOMONTH(DATE(2027,8,1),0)))),1,0)</f>
        <v>1</v>
      </c>
      <c r="O140" s="10">
        <f>IF(IF(IF(ISERROR('Model inputs'!AB179&lt;=EOMONTH(DATE(2027,9,1),0)),'Model inputs'!AB179&lt;=EOMONTH(DATE(2027,9,1),0),IF('Model inputs'!AB179="","",'Model inputs'!AB179&lt;=EOMONTH(DATE(2027,9,1),0)))="",FALSE,IF(ISERROR('Model inputs'!AB179&lt;=EOMONTH(DATE(2027,9,1),0)),'Model inputs'!AB179&lt;=EOMONTH(DATE(2027,9,1),0),IF('Model inputs'!AB179="","",'Model inputs'!AB179&lt;=EOMONTH(DATE(2027,9,1),0)))),1,0)</f>
        <v>1</v>
      </c>
      <c r="P140" s="10">
        <f>IF(IF(IF(ISERROR('Model inputs'!AB179&lt;=EOMONTH(DATE(2027,10,1),0)),'Model inputs'!AB179&lt;=EOMONTH(DATE(2027,10,1),0),IF('Model inputs'!AB179="","",'Model inputs'!AB179&lt;=EOMONTH(DATE(2027,10,1),0)))="",FALSE,IF(ISERROR('Model inputs'!AB179&lt;=EOMONTH(DATE(2027,10,1),0)),'Model inputs'!AB179&lt;=EOMONTH(DATE(2027,10,1),0),IF('Model inputs'!AB179="","",'Model inputs'!AB179&lt;=EOMONTH(DATE(2027,10,1),0)))),1,0)</f>
        <v>1</v>
      </c>
      <c r="Q140" s="10">
        <f>IF(IF(IF(ISERROR('Model inputs'!AB179&lt;=EOMONTH(DATE(2027,11,1),0)),'Model inputs'!AB179&lt;=EOMONTH(DATE(2027,11,1),0),IF('Model inputs'!AB179="","",'Model inputs'!AB179&lt;=EOMONTH(DATE(2027,11,1),0)))="",FALSE,IF(ISERROR('Model inputs'!AB179&lt;=EOMONTH(DATE(2027,11,1),0)),'Model inputs'!AB179&lt;=EOMONTH(DATE(2027,11,1),0),IF('Model inputs'!AB179="","",'Model inputs'!AB179&lt;=EOMONTH(DATE(2027,11,1),0)))),1,0)</f>
        <v>1</v>
      </c>
      <c r="R140" s="10">
        <f>IF(IF(IF(ISERROR('Model inputs'!AB179&lt;=EOMONTH(DATE(2027,12,1),0)),'Model inputs'!AB179&lt;=EOMONTH(DATE(2027,12,1),0),IF('Model inputs'!AB179="","",'Model inputs'!AB179&lt;=EOMONTH(DATE(2027,12,1),0)))="",FALSE,IF(ISERROR('Model inputs'!AB179&lt;=EOMONTH(DATE(2027,12,1),0)),'Model inputs'!AB179&lt;=EOMONTH(DATE(2027,12,1),0),IF('Model inputs'!AB179="","",'Model inputs'!AB179&lt;=EOMONTH(DATE(2027,12,1),0)))),1,0)</f>
        <v>1</v>
      </c>
      <c r="S140" s="10">
        <f>IF(IF(IF(ISERROR('Model inputs'!AB179&lt;=EOMONTH(DATE(2028,1,1),0)),'Model inputs'!AB179&lt;=EOMONTH(DATE(2028,1,1),0),IF('Model inputs'!AB179="","",'Model inputs'!AB179&lt;=EOMONTH(DATE(2028,1,1),0)))="",FALSE,IF(ISERROR('Model inputs'!AB179&lt;=EOMONTH(DATE(2028,1,1),0)),'Model inputs'!AB179&lt;=EOMONTH(DATE(2028,1,1),0),IF('Model inputs'!AB179="","",'Model inputs'!AB179&lt;=EOMONTH(DATE(2028,1,1),0)))),1,0)</f>
        <v>1</v>
      </c>
      <c r="T140" s="10">
        <f>IF(IF(IF(ISERROR('Model inputs'!AB179&lt;=EOMONTH(DATE(2028,2,1),0)),'Model inputs'!AB179&lt;=EOMONTH(DATE(2028,2,1),0),IF('Model inputs'!AB179="","",'Model inputs'!AB179&lt;=EOMONTH(DATE(2028,2,1),0)))="",FALSE,IF(ISERROR('Model inputs'!AB179&lt;=EOMONTH(DATE(2028,2,1),0)),'Model inputs'!AB179&lt;=EOMONTH(DATE(2028,2,1),0),IF('Model inputs'!AB179="","",'Model inputs'!AB179&lt;=EOMONTH(DATE(2028,2,1),0)))),1,0)</f>
        <v>1</v>
      </c>
      <c r="U140" s="10">
        <f>IF(IF(IF(ISERROR('Model inputs'!AB179&lt;=EOMONTH(DATE(2028,3,1),0)),'Model inputs'!AB179&lt;=EOMONTH(DATE(2028,3,1),0),IF('Model inputs'!AB179="","",'Model inputs'!AB179&lt;=EOMONTH(DATE(2028,3,1),0)))="",FALSE,IF(ISERROR('Model inputs'!AB179&lt;=EOMONTH(DATE(2028,3,1),0)),'Model inputs'!AB179&lt;=EOMONTH(DATE(2028,3,1),0),IF('Model inputs'!AB179="","",'Model inputs'!AB179&lt;=EOMONTH(DATE(2028,3,1),0)))),1,0)</f>
        <v>1</v>
      </c>
      <c r="V140" s="10">
        <f>IF(IF(IF(ISERROR('Model inputs'!AB179&lt;=EOMONTH(DATE(2028,4,1),0)),'Model inputs'!AB179&lt;=EOMONTH(DATE(2028,4,1),0),IF('Model inputs'!AB179="","",'Model inputs'!AB179&lt;=EOMONTH(DATE(2028,4,1),0)))="",FALSE,IF(ISERROR('Model inputs'!AB179&lt;=EOMONTH(DATE(2028,4,1),0)),'Model inputs'!AB179&lt;=EOMONTH(DATE(2028,4,1),0),IF('Model inputs'!AB179="","",'Model inputs'!AB179&lt;=EOMONTH(DATE(2028,4,1),0)))),1,0)</f>
        <v>1</v>
      </c>
      <c r="W140" s="10">
        <f>IF(IF(IF(ISERROR('Model inputs'!AB179&lt;=EOMONTH(DATE(2028,5,1),0)),'Model inputs'!AB179&lt;=EOMONTH(DATE(2028,5,1),0),IF('Model inputs'!AB179="","",'Model inputs'!AB179&lt;=EOMONTH(DATE(2028,5,1),0)))="",FALSE,IF(ISERROR('Model inputs'!AB179&lt;=EOMONTH(DATE(2028,5,1),0)),'Model inputs'!AB179&lt;=EOMONTH(DATE(2028,5,1),0),IF('Model inputs'!AB179="","",'Model inputs'!AB179&lt;=EOMONTH(DATE(2028,5,1),0)))),1,0)</f>
        <v>1</v>
      </c>
      <c r="X140" s="10">
        <f>IF(IF(IF(ISERROR('Model inputs'!AB179&lt;=EOMONTH(DATE(2028,6,1),0)),'Model inputs'!AB179&lt;=EOMONTH(DATE(2028,6,1),0),IF('Model inputs'!AB179="","",'Model inputs'!AB179&lt;=EOMONTH(DATE(2028,6,1),0)))="",FALSE,IF(ISERROR('Model inputs'!AB179&lt;=EOMONTH(DATE(2028,6,1),0)),'Model inputs'!AB179&lt;=EOMONTH(DATE(2028,6,1),0),IF('Model inputs'!AB179="","",'Model inputs'!AB179&lt;=EOMONTH(DATE(2028,6,1),0)))),1,0)</f>
        <v>1</v>
      </c>
      <c r="Y140" s="10">
        <f>IF(IF(IF(ISERROR('Model inputs'!AB179&lt;=EOMONTH(DATE(2028,7,1),0)),'Model inputs'!AB179&lt;=EOMONTH(DATE(2028,7,1),0),IF('Model inputs'!AB179="","",'Model inputs'!AB179&lt;=EOMONTH(DATE(2028,7,1),0)))="",FALSE,IF(ISERROR('Model inputs'!AB179&lt;=EOMONTH(DATE(2028,7,1),0)),'Model inputs'!AB179&lt;=EOMONTH(DATE(2028,7,1),0),IF('Model inputs'!AB179="","",'Model inputs'!AB179&lt;=EOMONTH(DATE(2028,7,1),0)))),1,0)</f>
        <v>1</v>
      </c>
      <c r="Z140" s="10">
        <f>IF(IF(IF(ISERROR('Model inputs'!AB179&lt;=EOMONTH(DATE(2028,8,1),0)),'Model inputs'!AB179&lt;=EOMONTH(DATE(2028,8,1),0),IF('Model inputs'!AB179="","",'Model inputs'!AB179&lt;=EOMONTH(DATE(2028,8,1),0)))="",FALSE,IF(ISERROR('Model inputs'!AB179&lt;=EOMONTH(DATE(2028,8,1),0)),'Model inputs'!AB179&lt;=EOMONTH(DATE(2028,8,1),0),IF('Model inputs'!AB179="","",'Model inputs'!AB179&lt;=EOMONTH(DATE(2028,8,1),0)))),1,0)</f>
        <v>1</v>
      </c>
      <c r="AA140" s="10">
        <f>0</f>
        <v>0</v>
      </c>
    </row>
    <row r="141">
      <c r="A141" t="inlineStr" s="18">
        <is>
          <t xml:space="preserve">Founder headcount</t>
        </is>
      </c>
      <c r="B141" s="12">
        <f>SUM('Model inputs'!B142)</f>
        <v>1</v>
      </c>
      <c r="D141" s="12">
        <f>SUM('Model inputs'!D142)</f>
        <v>1</v>
      </c>
      <c r="E141" s="12">
        <f>SUM('Model inputs'!E142)</f>
        <v>1</v>
      </c>
      <c r="F141" s="12">
        <f>SUM('Model inputs'!F142)</f>
        <v>1</v>
      </c>
      <c r="G141" s="12">
        <f>SUM('Model inputs'!G142)</f>
        <v>1</v>
      </c>
      <c r="H141" s="12">
        <f>SUM('Model inputs'!H142)</f>
        <v>1</v>
      </c>
      <c r="I141" s="12">
        <f>SUM('Model inputs'!I142)</f>
        <v>1</v>
      </c>
      <c r="J141" s="12">
        <f>SUM('Model inputs'!J142)</f>
        <v>1</v>
      </c>
      <c r="K141" s="12">
        <f>SUM('Model inputs'!K142)</f>
        <v>1</v>
      </c>
      <c r="L141" s="12">
        <f>SUM('Model inputs'!L142)</f>
        <v>1</v>
      </c>
      <c r="M141" s="12">
        <f>SUM('Model inputs'!M142)</f>
        <v>1</v>
      </c>
      <c r="N141" s="12">
        <f>SUM('Model inputs'!N142)</f>
        <v>1</v>
      </c>
      <c r="O141" s="12">
        <f>SUM('Model inputs'!O142)</f>
        <v>1</v>
      </c>
      <c r="P141" s="12">
        <f>SUM('Model inputs'!P142)</f>
        <v>1</v>
      </c>
      <c r="Q141" s="12">
        <f>SUM('Model inputs'!Q142)</f>
        <v>1</v>
      </c>
      <c r="R141" s="12">
        <f>SUM('Model inputs'!R142)</f>
        <v>1</v>
      </c>
      <c r="S141" s="12">
        <f>SUM('Model inputs'!S142)</f>
        <v>1</v>
      </c>
      <c r="T141" s="12">
        <f>SUM('Model inputs'!T142)</f>
        <v>1</v>
      </c>
      <c r="U141" s="12">
        <f>SUM('Model inputs'!U142)</f>
        <v>1</v>
      </c>
      <c r="V141" s="12">
        <f>SUM('Model inputs'!V142)</f>
        <v>1</v>
      </c>
      <c r="W141" s="12">
        <f>SUM('Model inputs'!W142)</f>
        <v>1</v>
      </c>
      <c r="X141" s="12">
        <f>SUM('Model inputs'!X142)</f>
        <v>1</v>
      </c>
      <c r="Y141" s="12">
        <f>SUM('Model inputs'!Y142)</f>
        <v>1</v>
      </c>
      <c r="Z141" s="12">
        <f>SUM('Model inputs'!Z142)</f>
        <v>1</v>
      </c>
      <c r="AA141" s="12">
        <f>SUM('Model inputs'!AA142)</f>
        <v>0</v>
      </c>
    </row>
    <row r="142" outlineLevel="1">
      <c r="A142" t="inlineStr" s="19">
        <is>
          <t xml:space="preserve">Founder headcount &gt; Harsh — founder</t>
        </is>
      </c>
      <c r="B142" s="10">
        <f>IF(IF(IF(ISERROR('Model inputs'!AB181&lt;=EOMONTH(DATE(2028,9,1),0)),'Model inputs'!AB181&lt;=EOMONTH(DATE(2028,9,1),0),IF('Model inputs'!AB181="","",'Model inputs'!AB181&lt;=EOMONTH(DATE(2028,9,1),0)))="",FALSE,IF(ISERROR('Model inputs'!AB181&lt;=EOMONTH(DATE(2028,9,1),0)),'Model inputs'!AB181&lt;=EOMONTH(DATE(2028,9,1),0),IF('Model inputs'!AB181="","",'Model inputs'!AB181&lt;=EOMONTH(DATE(2028,9,1),0)))),1,0)</f>
        <v>1</v>
      </c>
      <c r="D142" s="10">
        <f>IF(IF(IF(ISERROR('Model inputs'!AB181&lt;=EOMONTH(DATE(2026,10,1),0)),'Model inputs'!AB181&lt;=EOMONTH(DATE(2026,10,1),0),IF('Model inputs'!AB181="","",'Model inputs'!AB181&lt;=EOMONTH(DATE(2026,10,1),0)))="",FALSE,IF(ISERROR('Model inputs'!AB181&lt;=EOMONTH(DATE(2026,10,1),0)),'Model inputs'!AB181&lt;=EOMONTH(DATE(2026,10,1),0),IF('Model inputs'!AB181="","",'Model inputs'!AB181&lt;=EOMONTH(DATE(2026,10,1),0)))),1,0)</f>
        <v>1</v>
      </c>
      <c r="E142" s="10">
        <f>IF(IF(IF(ISERROR('Model inputs'!AB181&lt;=EOMONTH(DATE(2026,11,1),0)),'Model inputs'!AB181&lt;=EOMONTH(DATE(2026,11,1),0),IF('Model inputs'!AB181="","",'Model inputs'!AB181&lt;=EOMONTH(DATE(2026,11,1),0)))="",FALSE,IF(ISERROR('Model inputs'!AB181&lt;=EOMONTH(DATE(2026,11,1),0)),'Model inputs'!AB181&lt;=EOMONTH(DATE(2026,11,1),0),IF('Model inputs'!AB181="","",'Model inputs'!AB181&lt;=EOMONTH(DATE(2026,11,1),0)))),1,0)</f>
        <v>1</v>
      </c>
      <c r="F142" s="10">
        <f>IF(IF(IF(ISERROR('Model inputs'!AB181&lt;=EOMONTH(DATE(2026,12,1),0)),'Model inputs'!AB181&lt;=EOMONTH(DATE(2026,12,1),0),IF('Model inputs'!AB181="","",'Model inputs'!AB181&lt;=EOMONTH(DATE(2026,12,1),0)))="",FALSE,IF(ISERROR('Model inputs'!AB181&lt;=EOMONTH(DATE(2026,12,1),0)),'Model inputs'!AB181&lt;=EOMONTH(DATE(2026,12,1),0),IF('Model inputs'!AB181="","",'Model inputs'!AB181&lt;=EOMONTH(DATE(2026,12,1),0)))),1,0)</f>
        <v>1</v>
      </c>
      <c r="G142" s="10">
        <f>IF(IF(IF(ISERROR('Model inputs'!AB181&lt;=EOMONTH(DATE(2027,1,1),0)),'Model inputs'!AB181&lt;=EOMONTH(DATE(2027,1,1),0),IF('Model inputs'!AB181="","",'Model inputs'!AB181&lt;=EOMONTH(DATE(2027,1,1),0)))="",FALSE,IF(ISERROR('Model inputs'!AB181&lt;=EOMONTH(DATE(2027,1,1),0)),'Model inputs'!AB181&lt;=EOMONTH(DATE(2027,1,1),0),IF('Model inputs'!AB181="","",'Model inputs'!AB181&lt;=EOMONTH(DATE(2027,1,1),0)))),1,0)</f>
        <v>1</v>
      </c>
      <c r="H142" s="10">
        <f>IF(IF(IF(ISERROR('Model inputs'!AB181&lt;=EOMONTH(DATE(2027,2,1),0)),'Model inputs'!AB181&lt;=EOMONTH(DATE(2027,2,1),0),IF('Model inputs'!AB181="","",'Model inputs'!AB181&lt;=EOMONTH(DATE(2027,2,1),0)))="",FALSE,IF(ISERROR('Model inputs'!AB181&lt;=EOMONTH(DATE(2027,2,1),0)),'Model inputs'!AB181&lt;=EOMONTH(DATE(2027,2,1),0),IF('Model inputs'!AB181="","",'Model inputs'!AB181&lt;=EOMONTH(DATE(2027,2,1),0)))),1,0)</f>
        <v>1</v>
      </c>
      <c r="I142" s="10">
        <f>IF(IF(IF(ISERROR('Model inputs'!AB181&lt;=EOMONTH(DATE(2027,3,1),0)),'Model inputs'!AB181&lt;=EOMONTH(DATE(2027,3,1),0),IF('Model inputs'!AB181="","",'Model inputs'!AB181&lt;=EOMONTH(DATE(2027,3,1),0)))="",FALSE,IF(ISERROR('Model inputs'!AB181&lt;=EOMONTH(DATE(2027,3,1),0)),'Model inputs'!AB181&lt;=EOMONTH(DATE(2027,3,1),0),IF('Model inputs'!AB181="","",'Model inputs'!AB181&lt;=EOMONTH(DATE(2027,3,1),0)))),1,0)</f>
        <v>1</v>
      </c>
      <c r="J142" s="10">
        <f>IF(IF(IF(ISERROR('Model inputs'!AB181&lt;=EOMONTH(DATE(2027,4,1),0)),'Model inputs'!AB181&lt;=EOMONTH(DATE(2027,4,1),0),IF('Model inputs'!AB181="","",'Model inputs'!AB181&lt;=EOMONTH(DATE(2027,4,1),0)))="",FALSE,IF(ISERROR('Model inputs'!AB181&lt;=EOMONTH(DATE(2027,4,1),0)),'Model inputs'!AB181&lt;=EOMONTH(DATE(2027,4,1),0),IF('Model inputs'!AB181="","",'Model inputs'!AB181&lt;=EOMONTH(DATE(2027,4,1),0)))),1,0)</f>
        <v>1</v>
      </c>
      <c r="K142" s="10">
        <f>IF(IF(IF(ISERROR('Model inputs'!AB181&lt;=EOMONTH(DATE(2027,5,1),0)),'Model inputs'!AB181&lt;=EOMONTH(DATE(2027,5,1),0),IF('Model inputs'!AB181="","",'Model inputs'!AB181&lt;=EOMONTH(DATE(2027,5,1),0)))="",FALSE,IF(ISERROR('Model inputs'!AB181&lt;=EOMONTH(DATE(2027,5,1),0)),'Model inputs'!AB181&lt;=EOMONTH(DATE(2027,5,1),0),IF('Model inputs'!AB181="","",'Model inputs'!AB181&lt;=EOMONTH(DATE(2027,5,1),0)))),1,0)</f>
        <v>1</v>
      </c>
      <c r="L142" s="10">
        <f>IF(IF(IF(ISERROR('Model inputs'!AB181&lt;=EOMONTH(DATE(2027,6,1),0)),'Model inputs'!AB181&lt;=EOMONTH(DATE(2027,6,1),0),IF('Model inputs'!AB181="","",'Model inputs'!AB181&lt;=EOMONTH(DATE(2027,6,1),0)))="",FALSE,IF(ISERROR('Model inputs'!AB181&lt;=EOMONTH(DATE(2027,6,1),0)),'Model inputs'!AB181&lt;=EOMONTH(DATE(2027,6,1),0),IF('Model inputs'!AB181="","",'Model inputs'!AB181&lt;=EOMONTH(DATE(2027,6,1),0)))),1,0)</f>
        <v>1</v>
      </c>
      <c r="M142" s="10">
        <f>IF(IF(IF(ISERROR('Model inputs'!AB181&lt;=EOMONTH(DATE(2027,7,1),0)),'Model inputs'!AB181&lt;=EOMONTH(DATE(2027,7,1),0),IF('Model inputs'!AB181="","",'Model inputs'!AB181&lt;=EOMONTH(DATE(2027,7,1),0)))="",FALSE,IF(ISERROR('Model inputs'!AB181&lt;=EOMONTH(DATE(2027,7,1),0)),'Model inputs'!AB181&lt;=EOMONTH(DATE(2027,7,1),0),IF('Model inputs'!AB181="","",'Model inputs'!AB181&lt;=EOMONTH(DATE(2027,7,1),0)))),1,0)</f>
        <v>1</v>
      </c>
      <c r="N142" s="10">
        <f>IF(IF(IF(ISERROR('Model inputs'!AB181&lt;=EOMONTH(DATE(2027,8,1),0)),'Model inputs'!AB181&lt;=EOMONTH(DATE(2027,8,1),0),IF('Model inputs'!AB181="","",'Model inputs'!AB181&lt;=EOMONTH(DATE(2027,8,1),0)))="",FALSE,IF(ISERROR('Model inputs'!AB181&lt;=EOMONTH(DATE(2027,8,1),0)),'Model inputs'!AB181&lt;=EOMONTH(DATE(2027,8,1),0),IF('Model inputs'!AB181="","",'Model inputs'!AB181&lt;=EOMONTH(DATE(2027,8,1),0)))),1,0)</f>
        <v>1</v>
      </c>
      <c r="O142" s="10">
        <f>IF(IF(IF(ISERROR('Model inputs'!AB181&lt;=EOMONTH(DATE(2027,9,1),0)),'Model inputs'!AB181&lt;=EOMONTH(DATE(2027,9,1),0),IF('Model inputs'!AB181="","",'Model inputs'!AB181&lt;=EOMONTH(DATE(2027,9,1),0)))="",FALSE,IF(ISERROR('Model inputs'!AB181&lt;=EOMONTH(DATE(2027,9,1),0)),'Model inputs'!AB181&lt;=EOMONTH(DATE(2027,9,1),0),IF('Model inputs'!AB181="","",'Model inputs'!AB181&lt;=EOMONTH(DATE(2027,9,1),0)))),1,0)</f>
        <v>1</v>
      </c>
      <c r="P142" s="10">
        <f>IF(IF(IF(ISERROR('Model inputs'!AB181&lt;=EOMONTH(DATE(2027,10,1),0)),'Model inputs'!AB181&lt;=EOMONTH(DATE(2027,10,1),0),IF('Model inputs'!AB181="","",'Model inputs'!AB181&lt;=EOMONTH(DATE(2027,10,1),0)))="",FALSE,IF(ISERROR('Model inputs'!AB181&lt;=EOMONTH(DATE(2027,10,1),0)),'Model inputs'!AB181&lt;=EOMONTH(DATE(2027,10,1),0),IF('Model inputs'!AB181="","",'Model inputs'!AB181&lt;=EOMONTH(DATE(2027,10,1),0)))),1,0)</f>
        <v>1</v>
      </c>
      <c r="Q142" s="10">
        <f>IF(IF(IF(ISERROR('Model inputs'!AB181&lt;=EOMONTH(DATE(2027,11,1),0)),'Model inputs'!AB181&lt;=EOMONTH(DATE(2027,11,1),0),IF('Model inputs'!AB181="","",'Model inputs'!AB181&lt;=EOMONTH(DATE(2027,11,1),0)))="",FALSE,IF(ISERROR('Model inputs'!AB181&lt;=EOMONTH(DATE(2027,11,1),0)),'Model inputs'!AB181&lt;=EOMONTH(DATE(2027,11,1),0),IF('Model inputs'!AB181="","",'Model inputs'!AB181&lt;=EOMONTH(DATE(2027,11,1),0)))),1,0)</f>
        <v>1</v>
      </c>
      <c r="R142" s="10">
        <f>IF(IF(IF(ISERROR('Model inputs'!AB181&lt;=EOMONTH(DATE(2027,12,1),0)),'Model inputs'!AB181&lt;=EOMONTH(DATE(2027,12,1),0),IF('Model inputs'!AB181="","",'Model inputs'!AB181&lt;=EOMONTH(DATE(2027,12,1),0)))="",FALSE,IF(ISERROR('Model inputs'!AB181&lt;=EOMONTH(DATE(2027,12,1),0)),'Model inputs'!AB181&lt;=EOMONTH(DATE(2027,12,1),0),IF('Model inputs'!AB181="","",'Model inputs'!AB181&lt;=EOMONTH(DATE(2027,12,1),0)))),1,0)</f>
        <v>1</v>
      </c>
      <c r="S142" s="10">
        <f>IF(IF(IF(ISERROR('Model inputs'!AB181&lt;=EOMONTH(DATE(2028,1,1),0)),'Model inputs'!AB181&lt;=EOMONTH(DATE(2028,1,1),0),IF('Model inputs'!AB181="","",'Model inputs'!AB181&lt;=EOMONTH(DATE(2028,1,1),0)))="",FALSE,IF(ISERROR('Model inputs'!AB181&lt;=EOMONTH(DATE(2028,1,1),0)),'Model inputs'!AB181&lt;=EOMONTH(DATE(2028,1,1),0),IF('Model inputs'!AB181="","",'Model inputs'!AB181&lt;=EOMONTH(DATE(2028,1,1),0)))),1,0)</f>
        <v>1</v>
      </c>
      <c r="T142" s="10">
        <f>IF(IF(IF(ISERROR('Model inputs'!AB181&lt;=EOMONTH(DATE(2028,2,1),0)),'Model inputs'!AB181&lt;=EOMONTH(DATE(2028,2,1),0),IF('Model inputs'!AB181="","",'Model inputs'!AB181&lt;=EOMONTH(DATE(2028,2,1),0)))="",FALSE,IF(ISERROR('Model inputs'!AB181&lt;=EOMONTH(DATE(2028,2,1),0)),'Model inputs'!AB181&lt;=EOMONTH(DATE(2028,2,1),0),IF('Model inputs'!AB181="","",'Model inputs'!AB181&lt;=EOMONTH(DATE(2028,2,1),0)))),1,0)</f>
        <v>1</v>
      </c>
      <c r="U142" s="10">
        <f>IF(IF(IF(ISERROR('Model inputs'!AB181&lt;=EOMONTH(DATE(2028,3,1),0)),'Model inputs'!AB181&lt;=EOMONTH(DATE(2028,3,1),0),IF('Model inputs'!AB181="","",'Model inputs'!AB181&lt;=EOMONTH(DATE(2028,3,1),0)))="",FALSE,IF(ISERROR('Model inputs'!AB181&lt;=EOMONTH(DATE(2028,3,1),0)),'Model inputs'!AB181&lt;=EOMONTH(DATE(2028,3,1),0),IF('Model inputs'!AB181="","",'Model inputs'!AB181&lt;=EOMONTH(DATE(2028,3,1),0)))),1,0)</f>
        <v>1</v>
      </c>
      <c r="V142" s="10">
        <f>IF(IF(IF(ISERROR('Model inputs'!AB181&lt;=EOMONTH(DATE(2028,4,1),0)),'Model inputs'!AB181&lt;=EOMONTH(DATE(2028,4,1),0),IF('Model inputs'!AB181="","",'Model inputs'!AB181&lt;=EOMONTH(DATE(2028,4,1),0)))="",FALSE,IF(ISERROR('Model inputs'!AB181&lt;=EOMONTH(DATE(2028,4,1),0)),'Model inputs'!AB181&lt;=EOMONTH(DATE(2028,4,1),0),IF('Model inputs'!AB181="","",'Model inputs'!AB181&lt;=EOMONTH(DATE(2028,4,1),0)))),1,0)</f>
        <v>1</v>
      </c>
      <c r="W142" s="10">
        <f>IF(IF(IF(ISERROR('Model inputs'!AB181&lt;=EOMONTH(DATE(2028,5,1),0)),'Model inputs'!AB181&lt;=EOMONTH(DATE(2028,5,1),0),IF('Model inputs'!AB181="","",'Model inputs'!AB181&lt;=EOMONTH(DATE(2028,5,1),0)))="",FALSE,IF(ISERROR('Model inputs'!AB181&lt;=EOMONTH(DATE(2028,5,1),0)),'Model inputs'!AB181&lt;=EOMONTH(DATE(2028,5,1),0),IF('Model inputs'!AB181="","",'Model inputs'!AB181&lt;=EOMONTH(DATE(2028,5,1),0)))),1,0)</f>
        <v>1</v>
      </c>
      <c r="X142" s="10">
        <f>IF(IF(IF(ISERROR('Model inputs'!AB181&lt;=EOMONTH(DATE(2028,6,1),0)),'Model inputs'!AB181&lt;=EOMONTH(DATE(2028,6,1),0),IF('Model inputs'!AB181="","",'Model inputs'!AB181&lt;=EOMONTH(DATE(2028,6,1),0)))="",FALSE,IF(ISERROR('Model inputs'!AB181&lt;=EOMONTH(DATE(2028,6,1),0)),'Model inputs'!AB181&lt;=EOMONTH(DATE(2028,6,1),0),IF('Model inputs'!AB181="","",'Model inputs'!AB181&lt;=EOMONTH(DATE(2028,6,1),0)))),1,0)</f>
        <v>1</v>
      </c>
      <c r="Y142" s="10">
        <f>IF(IF(IF(ISERROR('Model inputs'!AB181&lt;=EOMONTH(DATE(2028,7,1),0)),'Model inputs'!AB181&lt;=EOMONTH(DATE(2028,7,1),0),IF('Model inputs'!AB181="","",'Model inputs'!AB181&lt;=EOMONTH(DATE(2028,7,1),0)))="",FALSE,IF(ISERROR('Model inputs'!AB181&lt;=EOMONTH(DATE(2028,7,1),0)),'Model inputs'!AB181&lt;=EOMONTH(DATE(2028,7,1),0),IF('Model inputs'!AB181="","",'Model inputs'!AB181&lt;=EOMONTH(DATE(2028,7,1),0)))),1,0)</f>
        <v>1</v>
      </c>
      <c r="Z142" s="10">
        <f>IF(IF(IF(ISERROR('Model inputs'!AB181&lt;=EOMONTH(DATE(2028,8,1),0)),'Model inputs'!AB181&lt;=EOMONTH(DATE(2028,8,1),0),IF('Model inputs'!AB181="","",'Model inputs'!AB181&lt;=EOMONTH(DATE(2028,8,1),0)))="",FALSE,IF(ISERROR('Model inputs'!AB181&lt;=EOMONTH(DATE(2028,8,1),0)),'Model inputs'!AB181&lt;=EOMONTH(DATE(2028,8,1),0),IF('Model inputs'!AB181="","",'Model inputs'!AB181&lt;=EOMONTH(DATE(2028,8,1),0)))),1,0)</f>
        <v>1</v>
      </c>
      <c r="AA142" s="10">
        <f>'Model inputs'!AA140</f>
        <v>0</v>
      </c>
    </row>
    <row r="143">
      <c r="A143" t="inlineStr" s="18">
        <is>
          <t xml:space="preserve">Founder monthly salary</t>
        </is>
      </c>
      <c r="AB143" s="14">
        <v>0</v>
      </c>
    </row>
    <row r="144" outlineLevel="1">
      <c r="A144" t="inlineStr" s="19">
        <is>
          <t xml:space="preserve">Founder monthly salary &gt; Harsh — founder</t>
        </is>
      </c>
      <c r="AB144" s="9">
        <f>0</f>
        <v>0</v>
      </c>
    </row>
    <row r="145">
      <c r="A145" t="inlineStr" s="18">
        <is>
          <t xml:space="preserve">Founder monthly salary</t>
        </is>
      </c>
      <c r="AB145" s="14">
        <v>0</v>
      </c>
    </row>
    <row r="146" outlineLevel="1">
      <c r="A146" t="inlineStr" s="19">
        <is>
          <t xml:space="preserve">Founder monthly salary &gt; Harsh — founder</t>
        </is>
      </c>
      <c r="AB146" s="9">
        <f>0</f>
        <v>0</v>
      </c>
    </row>
    <row r="147">
      <c r="A147" t="inlineStr" s="18">
        <is>
          <t xml:space="preserve">Monthly fixed cost</t>
        </is>
      </c>
      <c r="AB147" s="14">
        <v>0</v>
      </c>
    </row>
    <row r="148" outlineLevel="1">
      <c r="A148" t="inlineStr" s="19">
        <is>
          <t xml:space="preserve">Monthly fixed cost &gt; Hosting and runners</t>
        </is>
      </c>
      <c r="AB148" s="9">
        <f>'Model inputs'!C39</f>
        <v>150</v>
      </c>
    </row>
    <row r="149" outlineLevel="1">
      <c r="A149" t="inlineStr" s="19">
        <is>
          <t xml:space="preserve">Monthly fixed cost &gt; Observability — neatlogs</t>
        </is>
      </c>
      <c r="AB149" s="9">
        <f>'Model inputs'!C40</f>
        <v>50</v>
      </c>
    </row>
    <row r="150" outlineLevel="1">
      <c r="A150" t="inlineStr" s="19">
        <is>
          <t xml:space="preserve">Monthly fixed cost &gt; Other tools</t>
        </is>
      </c>
      <c r="AB150" s="9">
        <f>'Model inputs'!C41</f>
        <v>100</v>
      </c>
    </row>
    <row r="151">
      <c r="A151" t="inlineStr" s="18">
        <is>
          <t xml:space="preserve">Monthly fixed cost</t>
        </is>
      </c>
      <c r="AB151" s="14">
        <v>0</v>
      </c>
    </row>
    <row r="152" outlineLevel="1">
      <c r="A152" t="inlineStr" s="19">
        <is>
          <t xml:space="preserve">Monthly fixed cost &gt; Hosting and runners</t>
        </is>
      </c>
      <c r="AB152" s="9">
        <f>'Model inputs'!C39</f>
        <v>150</v>
      </c>
    </row>
    <row r="153" outlineLevel="1">
      <c r="A153" t="inlineStr" s="19">
        <is>
          <t xml:space="preserve">Monthly fixed cost &gt; Observability — neatlogs</t>
        </is>
      </c>
      <c r="AB153" s="9">
        <f>'Model inputs'!C40</f>
        <v>50</v>
      </c>
    </row>
    <row r="154" outlineLevel="1">
      <c r="A154" t="inlineStr" s="19">
        <is>
          <t xml:space="preserve">Monthly fixed cost &gt; Other tools</t>
        </is>
      </c>
      <c r="AB154" s="9">
        <f>'Model inputs'!C41</f>
        <v>100</v>
      </c>
    </row>
    <row r="155">
      <c r="A155" t="inlineStr" s="18">
        <is>
          <t xml:space="preserve">Payroll overhead rate · Founder payroll · Base and upside comparison · Main Scenario · Main Scenario</t>
        </is>
      </c>
      <c r="AB155" s="11">
        <f>'Model inputs'!C55</f>
        <v>0</v>
      </c>
    </row>
    <row r="156">
      <c r="A156" t="inlineStr" s="18">
        <is>
          <t xml:space="preserve">Payroll overhead rate · Founder payroll · Base and upside comparison · Upshift — Upside · Upshift — Upside</t>
        </is>
      </c>
      <c r="AB156" s="11">
        <f>'Model inputs'!C55</f>
        <v>0</v>
      </c>
    </row>
    <row r="157">
      <c r="A157" t="inlineStr" s="18">
        <is>
          <t xml:space="preserve">Price per repository</t>
        </is>
      </c>
      <c r="AB157" s="14">
        <v>0</v>
      </c>
    </row>
    <row r="158" outlineLevel="1">
      <c r="A158" t="inlineStr" s="19">
        <is>
          <t xml:space="preserve">Price per repository &gt; Business</t>
        </is>
      </c>
      <c r="AB158" s="9">
        <f>'Model inputs'!C77/'Model inputs'!C76</f>
        <v>26.6</v>
      </c>
    </row>
    <row r="159" outlineLevel="1">
      <c r="A159" t="inlineStr" s="19">
        <is>
          <t xml:space="preserve">Price per repository &gt; Team</t>
        </is>
      </c>
      <c r="AB159" s="9">
        <f>'Model inputs'!C59</f>
        <v>49</v>
      </c>
    </row>
    <row r="160">
      <c r="A160" t="inlineStr" s="18">
        <is>
          <t xml:space="preserve">Price per repository</t>
        </is>
      </c>
      <c r="AB160" s="14">
        <v>0</v>
      </c>
    </row>
    <row r="161" outlineLevel="1">
      <c r="A161" t="inlineStr" s="19">
        <is>
          <t xml:space="preserve">Price per repository &gt; Business</t>
        </is>
      </c>
      <c r="AB161" s="9">
        <f>'Model inputs'!AB177/'Model inputs'!AB173</f>
        <v>26.6</v>
      </c>
    </row>
    <row r="162" outlineLevel="1">
      <c r="A162" t="inlineStr" s="19">
        <is>
          <t xml:space="preserve">Price per repository &gt; Team</t>
        </is>
      </c>
      <c r="AB162" s="9">
        <f>'Model inputs'!C59</f>
        <v>49</v>
      </c>
    </row>
    <row r="163">
      <c r="A163" t="inlineStr" s="18">
        <is>
          <t xml:space="preserve">Repositories by plan</t>
        </is>
      </c>
      <c r="B163" s="12">
        <f>SUM('Model inputs'!B164,'Model inputs'!B165)</f>
        <v>108.03848264467925</v>
      </c>
      <c r="D163" s="12">
        <f>SUM('Model inputs'!D164,'Model inputs'!D165)</f>
        <v>3.3333333333333335</v>
      </c>
      <c r="E163" s="12">
        <f>SUM('Model inputs'!E164,'Model inputs'!E165)</f>
        <v>6.666666666666668</v>
      </c>
      <c r="F163" s="12">
        <f>SUM('Model inputs'!F164,'Model inputs'!F165)</f>
        <v>10.000000000000002</v>
      </c>
      <c r="G163" s="12">
        <f>SUM('Model inputs'!G164,'Model inputs'!G165)</f>
        <v>11.200000000000001</v>
      </c>
      <c r="H163" s="12">
        <f>SUM('Model inputs'!H164,'Model inputs'!H165)</f>
        <v>12.544</v>
      </c>
      <c r="I163" s="12">
        <f>SUM('Model inputs'!I164,'Model inputs'!I165)</f>
        <v>14.049280000000001</v>
      </c>
      <c r="J163" s="12">
        <f>SUM('Model inputs'!J164,'Model inputs'!J165)</f>
        <v>15.7351936</v>
      </c>
      <c r="K163" s="12">
        <f>SUM('Model inputs'!K164,'Model inputs'!K165)</f>
        <v>17.623416832</v>
      </c>
      <c r="L163" s="12">
        <f>SUM('Model inputs'!L164,'Model inputs'!L165)</f>
        <v>19.738226851839997</v>
      </c>
      <c r="M163" s="12">
        <f>SUM('Model inputs'!M164,'Model inputs'!M165)</f>
        <v>22.106814074060797</v>
      </c>
      <c r="N163" s="12">
        <f>SUM('Model inputs'!N164,'Model inputs'!N165)</f>
        <v>24.759631762948093</v>
      </c>
      <c r="O163" s="12">
        <f>SUM('Model inputs'!O164,'Model inputs'!O165)</f>
        <v>27.730787574501864</v>
      </c>
      <c r="P163" s="12">
        <f>SUM('Model inputs'!P164,'Model inputs'!P165)</f>
        <v>31.058482083442087</v>
      </c>
      <c r="Q163" s="12">
        <f>SUM('Model inputs'!Q164,'Model inputs'!Q165)</f>
        <v>34.785499933455135</v>
      </c>
      <c r="R163" s="12">
        <f>SUM('Model inputs'!R164,'Model inputs'!R165)</f>
        <v>38.959759925469754</v>
      </c>
      <c r="S163" s="12">
        <f>SUM('Model inputs'!S164,'Model inputs'!S165)</f>
        <v>43.634931116526126</v>
      </c>
      <c r="T163" s="12">
        <f>SUM('Model inputs'!T164,'Model inputs'!T165)</f>
        <v>48.87112285050926</v>
      </c>
      <c r="U163" s="12">
        <f>SUM('Model inputs'!U164,'Model inputs'!U165)</f>
        <v>54.73565759257037</v>
      </c>
      <c r="V163" s="12">
        <f>SUM('Model inputs'!V164,'Model inputs'!V165)</f>
        <v>61.30393650367881</v>
      </c>
      <c r="W163" s="12">
        <f>SUM('Model inputs'!W164,'Model inputs'!W165)</f>
        <v>68.66040888412027</v>
      </c>
      <c r="X163" s="12">
        <f>SUM('Model inputs'!X164,'Model inputs'!X165)</f>
        <v>76.8996579502147</v>
      </c>
      <c r="Y163" s="12">
        <f>SUM('Model inputs'!Y164,'Model inputs'!Y165)</f>
        <v>86.12761690424047</v>
      </c>
      <c r="Z163" s="12">
        <f>SUM('Model inputs'!Z164,'Model inputs'!Z165)</f>
        <v>96.46293093274933</v>
      </c>
      <c r="AA163" s="12">
        <f>SUM('Model inputs'!AA164,'Model inputs'!AA165)</f>
        <v>0</v>
      </c>
    </row>
    <row r="164" outlineLevel="1">
      <c r="A164" t="inlineStr" s="19">
        <is>
          <t xml:space="preserve">Repositories by plan &gt; Business</t>
        </is>
      </c>
      <c r="B164" s="10">
        <f>'Model inputs'!B51*IF(IF(EXACT("Business","Business"),IF('Model inputs'!AB174="","",'Model inputs'!AB174),1-'Model inputs'!AB174)="",0,IF(EXACT("Business","Business"),IF('Model inputs'!AB174="","",'Model inputs'!AB174),1-'Model inputs'!AB174))</f>
        <v>0</v>
      </c>
      <c r="D164" s="10">
        <f>'Model inputs'!D51*IF(IF(EXACT("Business","Business"),IF('Model inputs'!AB174="","",'Model inputs'!AB174),1-'Model inputs'!AB174)="",0,IF(EXACT("Business","Business"),IF('Model inputs'!AB174="","",'Model inputs'!AB174),1-'Model inputs'!AB174))</f>
        <v>0</v>
      </c>
      <c r="E164" s="10">
        <f>'Model inputs'!E51*IF(IF(EXACT("Business","Business"),IF('Model inputs'!AB174="","",'Model inputs'!AB174),1-'Model inputs'!AB174)="",0,IF(EXACT("Business","Business"),IF('Model inputs'!AB174="","",'Model inputs'!AB174),1-'Model inputs'!AB174))</f>
        <v>0</v>
      </c>
      <c r="F164" s="10">
        <f>'Model inputs'!F51*IF(IF(EXACT("Business","Business"),IF('Model inputs'!AB174="","",'Model inputs'!AB174),1-'Model inputs'!AB174)="",0,IF(EXACT("Business","Business"),IF('Model inputs'!AB174="","",'Model inputs'!AB174),1-'Model inputs'!AB174))</f>
        <v>0</v>
      </c>
      <c r="G164" s="10">
        <f>'Model inputs'!G51*IF(IF(EXACT("Business","Business"),IF('Model inputs'!AB174="","",'Model inputs'!AB174),1-'Model inputs'!AB174)="",0,IF(EXACT("Business","Business"),IF('Model inputs'!AB174="","",'Model inputs'!AB174),1-'Model inputs'!AB174))</f>
        <v>0</v>
      </c>
      <c r="H164" s="10">
        <f>'Model inputs'!H51*IF(IF(EXACT("Business","Business"),IF('Model inputs'!AB174="","",'Model inputs'!AB174),1-'Model inputs'!AB174)="",0,IF(EXACT("Business","Business"),IF('Model inputs'!AB174="","",'Model inputs'!AB174),1-'Model inputs'!AB174))</f>
        <v>0</v>
      </c>
      <c r="I164" s="10">
        <f>'Model inputs'!I51*IF(IF(EXACT("Business","Business"),IF('Model inputs'!AB174="","",'Model inputs'!AB174),1-'Model inputs'!AB174)="",0,IF(EXACT("Business","Business"),IF('Model inputs'!AB174="","",'Model inputs'!AB174),1-'Model inputs'!AB174))</f>
        <v>0</v>
      </c>
      <c r="J164" s="10">
        <f>'Model inputs'!J51*IF(IF(EXACT("Business","Business"),IF('Model inputs'!AB174="","",'Model inputs'!AB174),1-'Model inputs'!AB174)="",0,IF(EXACT("Business","Business"),IF('Model inputs'!AB174="","",'Model inputs'!AB174),1-'Model inputs'!AB174))</f>
        <v>0</v>
      </c>
      <c r="K164" s="10">
        <f>'Model inputs'!K51*IF(IF(EXACT("Business","Business"),IF('Model inputs'!AB174="","",'Model inputs'!AB174),1-'Model inputs'!AB174)="",0,IF(EXACT("Business","Business"),IF('Model inputs'!AB174="","",'Model inputs'!AB174),1-'Model inputs'!AB174))</f>
        <v>0</v>
      </c>
      <c r="L164" s="10">
        <f>'Model inputs'!L51*IF(IF(EXACT("Business","Business"),IF('Model inputs'!AB174="","",'Model inputs'!AB174),1-'Model inputs'!AB174)="",0,IF(EXACT("Business","Business"),IF('Model inputs'!AB174="","",'Model inputs'!AB174),1-'Model inputs'!AB174))</f>
        <v>0</v>
      </c>
      <c r="M164" s="10">
        <f>'Model inputs'!M51*IF(IF(EXACT("Business","Business"),IF('Model inputs'!AB174="","",'Model inputs'!AB174),1-'Model inputs'!AB174)="",0,IF(EXACT("Business","Business"),IF('Model inputs'!AB174="","",'Model inputs'!AB174),1-'Model inputs'!AB174))</f>
        <v>0</v>
      </c>
      <c r="N164" s="10">
        <f>'Model inputs'!N51*IF(IF(EXACT("Business","Business"),IF('Model inputs'!AB174="","",'Model inputs'!AB174),1-'Model inputs'!AB174)="",0,IF(EXACT("Business","Business"),IF('Model inputs'!AB174="","",'Model inputs'!AB174),1-'Model inputs'!AB174))</f>
        <v>0</v>
      </c>
      <c r="O164" s="10">
        <f>'Model inputs'!O51*IF(IF(EXACT("Business","Business"),IF('Model inputs'!AB174="","",'Model inputs'!AB174),1-'Model inputs'!AB174)="",0,IF(EXACT("Business","Business"),IF('Model inputs'!AB174="","",'Model inputs'!AB174),1-'Model inputs'!AB174))</f>
        <v>0</v>
      </c>
      <c r="P164" s="10">
        <f>'Model inputs'!P51*IF(IF(EXACT("Business","Business"),IF('Model inputs'!AB174="","",'Model inputs'!AB174),1-'Model inputs'!AB174)="",0,IF(EXACT("Business","Business"),IF('Model inputs'!AB174="","",'Model inputs'!AB174),1-'Model inputs'!AB174))</f>
        <v>0</v>
      </c>
      <c r="Q164" s="10">
        <f>'Model inputs'!Q51*IF(IF(EXACT("Business","Business"),IF('Model inputs'!AB174="","",'Model inputs'!AB174),1-'Model inputs'!AB174)="",0,IF(EXACT("Business","Business"),IF('Model inputs'!AB174="","",'Model inputs'!AB174),1-'Model inputs'!AB174))</f>
        <v>0</v>
      </c>
      <c r="R164" s="10">
        <f>'Model inputs'!R51*IF(IF(EXACT("Business","Business"),IF('Model inputs'!AB174="","",'Model inputs'!AB174),1-'Model inputs'!AB174)="",0,IF(EXACT("Business","Business"),IF('Model inputs'!AB174="","",'Model inputs'!AB174),1-'Model inputs'!AB174))</f>
        <v>0</v>
      </c>
      <c r="S164" s="10">
        <f>'Model inputs'!S51*IF(IF(EXACT("Business","Business"),IF('Model inputs'!AB174="","",'Model inputs'!AB174),1-'Model inputs'!AB174)="",0,IF(EXACT("Business","Business"),IF('Model inputs'!AB174="","",'Model inputs'!AB174),1-'Model inputs'!AB174))</f>
        <v>0</v>
      </c>
      <c r="T164" s="10">
        <f>'Model inputs'!T51*IF(IF(EXACT("Business","Business"),IF('Model inputs'!AB174="","",'Model inputs'!AB174),1-'Model inputs'!AB174)="",0,IF(EXACT("Business","Business"),IF('Model inputs'!AB174="","",'Model inputs'!AB174),1-'Model inputs'!AB174))</f>
        <v>0</v>
      </c>
      <c r="U164" s="10">
        <f>'Model inputs'!U51*IF(IF(EXACT("Business","Business"),IF('Model inputs'!AB174="","",'Model inputs'!AB174),1-'Model inputs'!AB174)="",0,IF(EXACT("Business","Business"),IF('Model inputs'!AB174="","",'Model inputs'!AB174),1-'Model inputs'!AB174))</f>
        <v>0</v>
      </c>
      <c r="V164" s="10">
        <f>'Model inputs'!V51*IF(IF(EXACT("Business","Business"),IF('Model inputs'!AB174="","",'Model inputs'!AB174),1-'Model inputs'!AB174)="",0,IF(EXACT("Business","Business"),IF('Model inputs'!AB174="","",'Model inputs'!AB174),1-'Model inputs'!AB174))</f>
        <v>0</v>
      </c>
      <c r="W164" s="10">
        <f>'Model inputs'!W51*IF(IF(EXACT("Business","Business"),IF('Model inputs'!AB174="","",'Model inputs'!AB174),1-'Model inputs'!AB174)="",0,IF(EXACT("Business","Business"),IF('Model inputs'!AB174="","",'Model inputs'!AB174),1-'Model inputs'!AB174))</f>
        <v>0</v>
      </c>
      <c r="X164" s="10">
        <f>'Model inputs'!X51*IF(IF(EXACT("Business","Business"),IF('Model inputs'!AB174="","",'Model inputs'!AB174),1-'Model inputs'!AB174)="",0,IF(EXACT("Business","Business"),IF('Model inputs'!AB174="","",'Model inputs'!AB174),1-'Model inputs'!AB174))</f>
        <v>0</v>
      </c>
      <c r="Y164" s="10">
        <f>'Model inputs'!Y51*IF(IF(EXACT("Business","Business"),IF('Model inputs'!AB174="","",'Model inputs'!AB174),1-'Model inputs'!AB174)="",0,IF(EXACT("Business","Business"),IF('Model inputs'!AB174="","",'Model inputs'!AB174),1-'Model inputs'!AB174))</f>
        <v>0</v>
      </c>
      <c r="Z164" s="10">
        <f>'Model inputs'!Z51*IF(IF(EXACT("Business","Business"),IF('Model inputs'!AB174="","",'Model inputs'!AB174),1-'Model inputs'!AB174)="",0,IF(EXACT("Business","Business"),IF('Model inputs'!AB174="","",'Model inputs'!AB174),1-'Model inputs'!AB174))</f>
        <v>0</v>
      </c>
      <c r="AA164" s="10">
        <f>0</f>
        <v>0</v>
      </c>
    </row>
    <row r="165" outlineLevel="1">
      <c r="A165" t="inlineStr" s="19">
        <is>
          <t xml:space="preserve">Repositories by plan &gt; Team</t>
        </is>
      </c>
      <c r="B165" s="10">
        <f>'Model inputs'!B51*IF(IF(EXACT("Team","Business"),IF('Model inputs'!AB174="","",'Model inputs'!AB174),1-'Model inputs'!AB174)="",0,IF(EXACT("Team","Business"),IF('Model inputs'!AB174="","",'Model inputs'!AB174),1-'Model inputs'!AB174))</f>
        <v>108.03848264467925</v>
      </c>
      <c r="D165" s="10">
        <f>'Model inputs'!D51*IF(IF(EXACT("Team","Business"),IF('Model inputs'!AB174="","",'Model inputs'!AB174),1-'Model inputs'!AB174)="",0,IF(EXACT("Team","Business"),IF('Model inputs'!AB174="","",'Model inputs'!AB174),1-'Model inputs'!AB174))</f>
        <v>3.3333333333333335</v>
      </c>
      <c r="E165" s="10">
        <f>'Model inputs'!E51*IF(IF(EXACT("Team","Business"),IF('Model inputs'!AB174="","",'Model inputs'!AB174),1-'Model inputs'!AB174)="",0,IF(EXACT("Team","Business"),IF('Model inputs'!AB174="","",'Model inputs'!AB174),1-'Model inputs'!AB174))</f>
        <v>6.666666666666668</v>
      </c>
      <c r="F165" s="10">
        <f>'Model inputs'!F51*IF(IF(EXACT("Team","Business"),IF('Model inputs'!AB174="","",'Model inputs'!AB174),1-'Model inputs'!AB174)="",0,IF(EXACT("Team","Business"),IF('Model inputs'!AB174="","",'Model inputs'!AB174),1-'Model inputs'!AB174))</f>
        <v>10.000000000000002</v>
      </c>
      <c r="G165" s="10">
        <f>'Model inputs'!G51*IF(IF(EXACT("Team","Business"),IF('Model inputs'!AB174="","",'Model inputs'!AB174),1-'Model inputs'!AB174)="",0,IF(EXACT("Team","Business"),IF('Model inputs'!AB174="","",'Model inputs'!AB174),1-'Model inputs'!AB174))</f>
        <v>11.200000000000001</v>
      </c>
      <c r="H165" s="10">
        <f>'Model inputs'!H51*IF(IF(EXACT("Team","Business"),IF('Model inputs'!AB174="","",'Model inputs'!AB174),1-'Model inputs'!AB174)="",0,IF(EXACT("Team","Business"),IF('Model inputs'!AB174="","",'Model inputs'!AB174),1-'Model inputs'!AB174))</f>
        <v>12.544</v>
      </c>
      <c r="I165" s="10">
        <f>'Model inputs'!I51*IF(IF(EXACT("Team","Business"),IF('Model inputs'!AB174="","",'Model inputs'!AB174),1-'Model inputs'!AB174)="",0,IF(EXACT("Team","Business"),IF('Model inputs'!AB174="","",'Model inputs'!AB174),1-'Model inputs'!AB174))</f>
        <v>14.049280000000001</v>
      </c>
      <c r="J165" s="10">
        <f>'Model inputs'!J51*IF(IF(EXACT("Team","Business"),IF('Model inputs'!AB174="","",'Model inputs'!AB174),1-'Model inputs'!AB174)="",0,IF(EXACT("Team","Business"),IF('Model inputs'!AB174="","",'Model inputs'!AB174),1-'Model inputs'!AB174))</f>
        <v>15.7351936</v>
      </c>
      <c r="K165" s="10">
        <f>'Model inputs'!K51*IF(IF(EXACT("Team","Business"),IF('Model inputs'!AB174="","",'Model inputs'!AB174),1-'Model inputs'!AB174)="",0,IF(EXACT("Team","Business"),IF('Model inputs'!AB174="","",'Model inputs'!AB174),1-'Model inputs'!AB174))</f>
        <v>17.623416832</v>
      </c>
      <c r="L165" s="10">
        <f>'Model inputs'!L51*IF(IF(EXACT("Team","Business"),IF('Model inputs'!AB174="","",'Model inputs'!AB174),1-'Model inputs'!AB174)="",0,IF(EXACT("Team","Business"),IF('Model inputs'!AB174="","",'Model inputs'!AB174),1-'Model inputs'!AB174))</f>
        <v>19.738226851839997</v>
      </c>
      <c r="M165" s="10">
        <f>'Model inputs'!M51*IF(IF(EXACT("Team","Business"),IF('Model inputs'!AB174="","",'Model inputs'!AB174),1-'Model inputs'!AB174)="",0,IF(EXACT("Team","Business"),IF('Model inputs'!AB174="","",'Model inputs'!AB174),1-'Model inputs'!AB174))</f>
        <v>22.106814074060797</v>
      </c>
      <c r="N165" s="10">
        <f>'Model inputs'!N51*IF(IF(EXACT("Team","Business"),IF('Model inputs'!AB174="","",'Model inputs'!AB174),1-'Model inputs'!AB174)="",0,IF(EXACT("Team","Business"),IF('Model inputs'!AB174="","",'Model inputs'!AB174),1-'Model inputs'!AB174))</f>
        <v>24.759631762948093</v>
      </c>
      <c r="O165" s="10">
        <f>'Model inputs'!O51*IF(IF(EXACT("Team","Business"),IF('Model inputs'!AB174="","",'Model inputs'!AB174),1-'Model inputs'!AB174)="",0,IF(EXACT("Team","Business"),IF('Model inputs'!AB174="","",'Model inputs'!AB174),1-'Model inputs'!AB174))</f>
        <v>27.730787574501864</v>
      </c>
      <c r="P165" s="10">
        <f>'Model inputs'!P51*IF(IF(EXACT("Team","Business"),IF('Model inputs'!AB174="","",'Model inputs'!AB174),1-'Model inputs'!AB174)="",0,IF(EXACT("Team","Business"),IF('Model inputs'!AB174="","",'Model inputs'!AB174),1-'Model inputs'!AB174))</f>
        <v>31.058482083442087</v>
      </c>
      <c r="Q165" s="10">
        <f>'Model inputs'!Q51*IF(IF(EXACT("Team","Business"),IF('Model inputs'!AB174="","",'Model inputs'!AB174),1-'Model inputs'!AB174)="",0,IF(EXACT("Team","Business"),IF('Model inputs'!AB174="","",'Model inputs'!AB174),1-'Model inputs'!AB174))</f>
        <v>34.785499933455135</v>
      </c>
      <c r="R165" s="10">
        <f>'Model inputs'!R51*IF(IF(EXACT("Team","Business"),IF('Model inputs'!AB174="","",'Model inputs'!AB174),1-'Model inputs'!AB174)="",0,IF(EXACT("Team","Business"),IF('Model inputs'!AB174="","",'Model inputs'!AB174),1-'Model inputs'!AB174))</f>
        <v>38.959759925469754</v>
      </c>
      <c r="S165" s="10">
        <f>'Model inputs'!S51*IF(IF(EXACT("Team","Business"),IF('Model inputs'!AB174="","",'Model inputs'!AB174),1-'Model inputs'!AB174)="",0,IF(EXACT("Team","Business"),IF('Model inputs'!AB174="","",'Model inputs'!AB174),1-'Model inputs'!AB174))</f>
        <v>43.634931116526126</v>
      </c>
      <c r="T165" s="10">
        <f>'Model inputs'!T51*IF(IF(EXACT("Team","Business"),IF('Model inputs'!AB174="","",'Model inputs'!AB174),1-'Model inputs'!AB174)="",0,IF(EXACT("Team","Business"),IF('Model inputs'!AB174="","",'Model inputs'!AB174),1-'Model inputs'!AB174))</f>
        <v>48.87112285050926</v>
      </c>
      <c r="U165" s="10">
        <f>'Model inputs'!U51*IF(IF(EXACT("Team","Business"),IF('Model inputs'!AB174="","",'Model inputs'!AB174),1-'Model inputs'!AB174)="",0,IF(EXACT("Team","Business"),IF('Model inputs'!AB174="","",'Model inputs'!AB174),1-'Model inputs'!AB174))</f>
        <v>54.73565759257037</v>
      </c>
      <c r="V165" s="10">
        <f>'Model inputs'!V51*IF(IF(EXACT("Team","Business"),IF('Model inputs'!AB174="","",'Model inputs'!AB174),1-'Model inputs'!AB174)="",0,IF(EXACT("Team","Business"),IF('Model inputs'!AB174="","",'Model inputs'!AB174),1-'Model inputs'!AB174))</f>
        <v>61.30393650367881</v>
      </c>
      <c r="W165" s="10">
        <f>'Model inputs'!W51*IF(IF(EXACT("Team","Business"),IF('Model inputs'!AB174="","",'Model inputs'!AB174),1-'Model inputs'!AB174)="",0,IF(EXACT("Team","Business"),IF('Model inputs'!AB174="","",'Model inputs'!AB174),1-'Model inputs'!AB174))</f>
        <v>68.66040888412027</v>
      </c>
      <c r="X165" s="10">
        <f>'Model inputs'!X51*IF(IF(EXACT("Team","Business"),IF('Model inputs'!AB174="","",'Model inputs'!AB174),1-'Model inputs'!AB174)="",0,IF(EXACT("Team","Business"),IF('Model inputs'!AB174="","",'Model inputs'!AB174),1-'Model inputs'!AB174))</f>
        <v>76.8996579502147</v>
      </c>
      <c r="Y165" s="10">
        <f>'Model inputs'!Y51*IF(IF(EXACT("Team","Business"),IF('Model inputs'!AB174="","",'Model inputs'!AB174),1-'Model inputs'!AB174)="",0,IF(EXACT("Team","Business"),IF('Model inputs'!AB174="","",'Model inputs'!AB174),1-'Model inputs'!AB174))</f>
        <v>86.12761690424047</v>
      </c>
      <c r="Z165" s="10">
        <f>'Model inputs'!Z51*IF(IF(EXACT("Team","Business"),IF('Model inputs'!AB174="","",'Model inputs'!AB174),1-'Model inputs'!AB174)="",0,IF(EXACT("Team","Business"),IF('Model inputs'!AB174="","",'Model inputs'!AB174),1-'Model inputs'!AB174))</f>
        <v>96.46293093274933</v>
      </c>
      <c r="AA165" s="10">
        <f>0</f>
        <v>0</v>
      </c>
    </row>
    <row r="166">
      <c r="A166" t="inlineStr" s="18">
        <is>
          <t xml:space="preserve">Repositories by plan</t>
        </is>
      </c>
      <c r="B166" s="12">
        <f>SUM('Model inputs'!B167,'Model inputs'!B168)</f>
        <v>1627.4080235153226</v>
      </c>
      <c r="D166" s="12">
        <f>SUM('Model inputs'!D167,'Model inputs'!D168)</f>
        <v>8.333333333333334</v>
      </c>
      <c r="E166" s="12">
        <f>SUM('Model inputs'!E167,'Model inputs'!E168)</f>
        <v>16.666666666666668</v>
      </c>
      <c r="F166" s="12">
        <f>SUM('Model inputs'!F167,'Model inputs'!F168)</f>
        <v>25</v>
      </c>
      <c r="G166" s="12">
        <f>SUM('Model inputs'!G167,'Model inputs'!G168)</f>
        <v>30.5</v>
      </c>
      <c r="H166" s="12">
        <f>SUM('Model inputs'!H167,'Model inputs'!H168)</f>
        <v>37.21</v>
      </c>
      <c r="I166" s="12">
        <f>SUM('Model inputs'!I167,'Model inputs'!I168)</f>
        <v>45.3962</v>
      </c>
      <c r="J166" s="12">
        <f>SUM('Model inputs'!J167,'Model inputs'!J168)</f>
        <v>55.383364</v>
      </c>
      <c r="K166" s="12">
        <f>SUM('Model inputs'!K167,'Model inputs'!K168)</f>
        <v>67.56770408000001</v>
      </c>
      <c r="L166" s="12">
        <f>SUM('Model inputs'!L167,'Model inputs'!L168)</f>
        <v>82.43259897760001</v>
      </c>
      <c r="M166" s="12">
        <f>SUM('Model inputs'!M167,'Model inputs'!M168)</f>
        <v>100.56777075267202</v>
      </c>
      <c r="N166" s="12">
        <f>SUM('Model inputs'!N167,'Model inputs'!N168)</f>
        <v>122.69268031825986</v>
      </c>
      <c r="O166" s="12">
        <f>SUM('Model inputs'!O167,'Model inputs'!O168)</f>
        <v>149.68506998827704</v>
      </c>
      <c r="P166" s="12">
        <f>SUM('Model inputs'!P167,'Model inputs'!P168)</f>
        <v>182.615785385698</v>
      </c>
      <c r="Q166" s="12">
        <f>SUM('Model inputs'!Q167,'Model inputs'!Q168)</f>
        <v>222.79125817055154</v>
      </c>
      <c r="R166" s="12">
        <f>SUM('Model inputs'!R167,'Model inputs'!R168)</f>
        <v>271.8053349680729</v>
      </c>
      <c r="S166" s="12">
        <f>SUM('Model inputs'!S167,'Model inputs'!S168)</f>
        <v>331.60250866104894</v>
      </c>
      <c r="T166" s="12">
        <f>SUM('Model inputs'!T167,'Model inputs'!T168)</f>
        <v>404.5550605664797</v>
      </c>
      <c r="U166" s="12">
        <f>SUM('Model inputs'!U167,'Model inputs'!U168)</f>
        <v>493.55717389110526</v>
      </c>
      <c r="V166" s="12">
        <f>SUM('Model inputs'!V167,'Model inputs'!V168)</f>
        <v>602.1397521471483</v>
      </c>
      <c r="W166" s="12">
        <f>SUM('Model inputs'!W167,'Model inputs'!W168)</f>
        <v>734.6104976195209</v>
      </c>
      <c r="X166" s="12">
        <f>SUM('Model inputs'!X167,'Model inputs'!X168)</f>
        <v>896.2248070958155</v>
      </c>
      <c r="Y166" s="12">
        <f>SUM('Model inputs'!Y167,'Model inputs'!Y168)</f>
        <v>1093.394264656895</v>
      </c>
      <c r="Z166" s="12">
        <f>SUM('Model inputs'!Z167,'Model inputs'!Z168)</f>
        <v>1333.941002881412</v>
      </c>
      <c r="AA166" s="12">
        <f>SUM('Model inputs'!AA167,'Model inputs'!AA168)</f>
        <v>0</v>
      </c>
    </row>
    <row r="167" outlineLevel="1">
      <c r="A167" t="inlineStr" s="19">
        <is>
          <t xml:space="preserve">Repositories by plan &gt; Business</t>
        </is>
      </c>
      <c r="B167" s="10">
        <f>'Model inputs'!B110*IF(IF(EXACT("Business","Business"),IF('Model inputs'!AB175="","",'Model inputs'!AB175),1-'Model inputs'!AB175)="",0,IF(EXACT("Business","Business"),IF('Model inputs'!AB175="","",'Model inputs'!AB175),1-'Model inputs'!AB175))</f>
        <v>0</v>
      </c>
      <c r="D167" s="10">
        <f>'Model inputs'!D110*IF(IF(EXACT("Business","Business"),IF('Model inputs'!AB175="","",'Model inputs'!AB175),1-'Model inputs'!AB175)="",0,IF(EXACT("Business","Business"),IF('Model inputs'!AB175="","",'Model inputs'!AB175),1-'Model inputs'!AB175))</f>
        <v>0</v>
      </c>
      <c r="E167" s="10">
        <f>'Model inputs'!E110*IF(IF(EXACT("Business","Business"),IF('Model inputs'!AB175="","",'Model inputs'!AB175),1-'Model inputs'!AB175)="",0,IF(EXACT("Business","Business"),IF('Model inputs'!AB175="","",'Model inputs'!AB175),1-'Model inputs'!AB175))</f>
        <v>0</v>
      </c>
      <c r="F167" s="10">
        <f>'Model inputs'!F110*IF(IF(EXACT("Business","Business"),IF('Model inputs'!AB175="","",'Model inputs'!AB175),1-'Model inputs'!AB175)="",0,IF(EXACT("Business","Business"),IF('Model inputs'!AB175="","",'Model inputs'!AB175),1-'Model inputs'!AB175))</f>
        <v>0</v>
      </c>
      <c r="G167" s="10">
        <f>'Model inputs'!G110*IF(IF(EXACT("Business","Business"),IF('Model inputs'!AB175="","",'Model inputs'!AB175),1-'Model inputs'!AB175)="",0,IF(EXACT("Business","Business"),IF('Model inputs'!AB175="","",'Model inputs'!AB175),1-'Model inputs'!AB175))</f>
        <v>0</v>
      </c>
      <c r="H167" s="10">
        <f>'Model inputs'!H110*IF(IF(EXACT("Business","Business"),IF('Model inputs'!AB175="","",'Model inputs'!AB175),1-'Model inputs'!AB175)="",0,IF(EXACT("Business","Business"),IF('Model inputs'!AB175="","",'Model inputs'!AB175),1-'Model inputs'!AB175))</f>
        <v>0</v>
      </c>
      <c r="I167" s="10">
        <f>'Model inputs'!I110*IF(IF(EXACT("Business","Business"),IF('Model inputs'!AB175="","",'Model inputs'!AB175),1-'Model inputs'!AB175)="",0,IF(EXACT("Business","Business"),IF('Model inputs'!AB175="","",'Model inputs'!AB175),1-'Model inputs'!AB175))</f>
        <v>0</v>
      </c>
      <c r="J167" s="10">
        <f>'Model inputs'!J110*IF(IF(EXACT("Business","Business"),IF('Model inputs'!AB175="","",'Model inputs'!AB175),1-'Model inputs'!AB175)="",0,IF(EXACT("Business","Business"),IF('Model inputs'!AB175="","",'Model inputs'!AB175),1-'Model inputs'!AB175))</f>
        <v>0</v>
      </c>
      <c r="K167" s="10">
        <f>'Model inputs'!K110*IF(IF(EXACT("Business","Business"),IF('Model inputs'!AB175="","",'Model inputs'!AB175),1-'Model inputs'!AB175)="",0,IF(EXACT("Business","Business"),IF('Model inputs'!AB175="","",'Model inputs'!AB175),1-'Model inputs'!AB175))</f>
        <v>0</v>
      </c>
      <c r="L167" s="10">
        <f>'Model inputs'!L110*IF(IF(EXACT("Business","Business"),IF('Model inputs'!AB175="","",'Model inputs'!AB175),1-'Model inputs'!AB175)="",0,IF(EXACT("Business","Business"),IF('Model inputs'!AB175="","",'Model inputs'!AB175),1-'Model inputs'!AB175))</f>
        <v>0</v>
      </c>
      <c r="M167" s="10">
        <f>'Model inputs'!M110*IF(IF(EXACT("Business","Business"),IF('Model inputs'!AB175="","",'Model inputs'!AB175),1-'Model inputs'!AB175)="",0,IF(EXACT("Business","Business"),IF('Model inputs'!AB175="","",'Model inputs'!AB175),1-'Model inputs'!AB175))</f>
        <v>0</v>
      </c>
      <c r="N167" s="10">
        <f>'Model inputs'!N110*IF(IF(EXACT("Business","Business"),IF('Model inputs'!AB175="","",'Model inputs'!AB175),1-'Model inputs'!AB175)="",0,IF(EXACT("Business","Business"),IF('Model inputs'!AB175="","",'Model inputs'!AB175),1-'Model inputs'!AB175))</f>
        <v>0</v>
      </c>
      <c r="O167" s="10">
        <f>'Model inputs'!O110*IF(IF(EXACT("Business","Business"),IF('Model inputs'!AB175="","",'Model inputs'!AB175),1-'Model inputs'!AB175)="",0,IF(EXACT("Business","Business"),IF('Model inputs'!AB175="","",'Model inputs'!AB175),1-'Model inputs'!AB175))</f>
        <v>0</v>
      </c>
      <c r="P167" s="10">
        <f>'Model inputs'!P110*IF(IF(EXACT("Business","Business"),IF('Model inputs'!AB175="","",'Model inputs'!AB175),1-'Model inputs'!AB175)="",0,IF(EXACT("Business","Business"),IF('Model inputs'!AB175="","",'Model inputs'!AB175),1-'Model inputs'!AB175))</f>
        <v>0</v>
      </c>
      <c r="Q167" s="10">
        <f>'Model inputs'!Q110*IF(IF(EXACT("Business","Business"),IF('Model inputs'!AB175="","",'Model inputs'!AB175),1-'Model inputs'!AB175)="",0,IF(EXACT("Business","Business"),IF('Model inputs'!AB175="","",'Model inputs'!AB175),1-'Model inputs'!AB175))</f>
        <v>0</v>
      </c>
      <c r="R167" s="10">
        <f>'Model inputs'!R110*IF(IF(EXACT("Business","Business"),IF('Model inputs'!AB175="","",'Model inputs'!AB175),1-'Model inputs'!AB175)="",0,IF(EXACT("Business","Business"),IF('Model inputs'!AB175="","",'Model inputs'!AB175),1-'Model inputs'!AB175))</f>
        <v>0</v>
      </c>
      <c r="S167" s="10">
        <f>'Model inputs'!S110*IF(IF(EXACT("Business","Business"),IF('Model inputs'!AB175="","",'Model inputs'!AB175),1-'Model inputs'!AB175)="",0,IF(EXACT("Business","Business"),IF('Model inputs'!AB175="","",'Model inputs'!AB175),1-'Model inputs'!AB175))</f>
        <v>0</v>
      </c>
      <c r="T167" s="10">
        <f>'Model inputs'!T110*IF(IF(EXACT("Business","Business"),IF('Model inputs'!AB175="","",'Model inputs'!AB175),1-'Model inputs'!AB175)="",0,IF(EXACT("Business","Business"),IF('Model inputs'!AB175="","",'Model inputs'!AB175),1-'Model inputs'!AB175))</f>
        <v>0</v>
      </c>
      <c r="U167" s="10">
        <f>'Model inputs'!U110*IF(IF(EXACT("Business","Business"),IF('Model inputs'!AB175="","",'Model inputs'!AB175),1-'Model inputs'!AB175)="",0,IF(EXACT("Business","Business"),IF('Model inputs'!AB175="","",'Model inputs'!AB175),1-'Model inputs'!AB175))</f>
        <v>0</v>
      </c>
      <c r="V167" s="10">
        <f>'Model inputs'!V110*IF(IF(EXACT("Business","Business"),IF('Model inputs'!AB175="","",'Model inputs'!AB175),1-'Model inputs'!AB175)="",0,IF(EXACT("Business","Business"),IF('Model inputs'!AB175="","",'Model inputs'!AB175),1-'Model inputs'!AB175))</f>
        <v>0</v>
      </c>
      <c r="W167" s="10">
        <f>'Model inputs'!W110*IF(IF(EXACT("Business","Business"),IF('Model inputs'!AB175="","",'Model inputs'!AB175),1-'Model inputs'!AB175)="",0,IF(EXACT("Business","Business"),IF('Model inputs'!AB175="","",'Model inputs'!AB175),1-'Model inputs'!AB175))</f>
        <v>0</v>
      </c>
      <c r="X167" s="10">
        <f>'Model inputs'!X110*IF(IF(EXACT("Business","Business"),IF('Model inputs'!AB175="","",'Model inputs'!AB175),1-'Model inputs'!AB175)="",0,IF(EXACT("Business","Business"),IF('Model inputs'!AB175="","",'Model inputs'!AB175),1-'Model inputs'!AB175))</f>
        <v>0</v>
      </c>
      <c r="Y167" s="10">
        <f>'Model inputs'!Y110*IF(IF(EXACT("Business","Business"),IF('Model inputs'!AB175="","",'Model inputs'!AB175),1-'Model inputs'!AB175)="",0,IF(EXACT("Business","Business"),IF('Model inputs'!AB175="","",'Model inputs'!AB175),1-'Model inputs'!AB175))</f>
        <v>0</v>
      </c>
      <c r="Z167" s="10">
        <f>'Model inputs'!Z110*IF(IF(EXACT("Business","Business"),IF('Model inputs'!AB175="","",'Model inputs'!AB175),1-'Model inputs'!AB175)="",0,IF(EXACT("Business","Business"),IF('Model inputs'!AB175="","",'Model inputs'!AB175),1-'Model inputs'!AB175))</f>
        <v>0</v>
      </c>
      <c r="AA167" s="10">
        <f>'Model inputs'!AA164</f>
        <v>0</v>
      </c>
    </row>
    <row r="168" outlineLevel="1">
      <c r="A168" t="inlineStr" s="19">
        <is>
          <t xml:space="preserve">Repositories by plan &gt; Team</t>
        </is>
      </c>
      <c r="B168" s="10">
        <f>'Model inputs'!B110*IF(IF(EXACT("Team","Business"),IF('Model inputs'!AB175="","",'Model inputs'!AB175),1-'Model inputs'!AB175)="",0,IF(EXACT("Team","Business"),IF('Model inputs'!AB175="","",'Model inputs'!AB175),1-'Model inputs'!AB175))</f>
        <v>1627.4080235153226</v>
      </c>
      <c r="D168" s="10">
        <f>'Model inputs'!D110*IF(IF(EXACT("Team","Business"),IF('Model inputs'!AB175="","",'Model inputs'!AB175),1-'Model inputs'!AB175)="",0,IF(EXACT("Team","Business"),IF('Model inputs'!AB175="","",'Model inputs'!AB175),1-'Model inputs'!AB175))</f>
        <v>8.333333333333334</v>
      </c>
      <c r="E168" s="10">
        <f>'Model inputs'!E110*IF(IF(EXACT("Team","Business"),IF('Model inputs'!AB175="","",'Model inputs'!AB175),1-'Model inputs'!AB175)="",0,IF(EXACT("Team","Business"),IF('Model inputs'!AB175="","",'Model inputs'!AB175),1-'Model inputs'!AB175))</f>
        <v>16.666666666666668</v>
      </c>
      <c r="F168" s="10">
        <f>'Model inputs'!F110*IF(IF(EXACT("Team","Business"),IF('Model inputs'!AB175="","",'Model inputs'!AB175),1-'Model inputs'!AB175)="",0,IF(EXACT("Team","Business"),IF('Model inputs'!AB175="","",'Model inputs'!AB175),1-'Model inputs'!AB175))</f>
        <v>25</v>
      </c>
      <c r="G168" s="10">
        <f>'Model inputs'!G110*IF(IF(EXACT("Team","Business"),IF('Model inputs'!AB175="","",'Model inputs'!AB175),1-'Model inputs'!AB175)="",0,IF(EXACT("Team","Business"),IF('Model inputs'!AB175="","",'Model inputs'!AB175),1-'Model inputs'!AB175))</f>
        <v>30.5</v>
      </c>
      <c r="H168" s="10">
        <f>'Model inputs'!H110*IF(IF(EXACT("Team","Business"),IF('Model inputs'!AB175="","",'Model inputs'!AB175),1-'Model inputs'!AB175)="",0,IF(EXACT("Team","Business"),IF('Model inputs'!AB175="","",'Model inputs'!AB175),1-'Model inputs'!AB175))</f>
        <v>37.21</v>
      </c>
      <c r="I168" s="10">
        <f>'Model inputs'!I110*IF(IF(EXACT("Team","Business"),IF('Model inputs'!AB175="","",'Model inputs'!AB175),1-'Model inputs'!AB175)="",0,IF(EXACT("Team","Business"),IF('Model inputs'!AB175="","",'Model inputs'!AB175),1-'Model inputs'!AB175))</f>
        <v>45.3962</v>
      </c>
      <c r="J168" s="10">
        <f>'Model inputs'!J110*IF(IF(EXACT("Team","Business"),IF('Model inputs'!AB175="","",'Model inputs'!AB175),1-'Model inputs'!AB175)="",0,IF(EXACT("Team","Business"),IF('Model inputs'!AB175="","",'Model inputs'!AB175),1-'Model inputs'!AB175))</f>
        <v>55.383364</v>
      </c>
      <c r="K168" s="10">
        <f>'Model inputs'!K110*IF(IF(EXACT("Team","Business"),IF('Model inputs'!AB175="","",'Model inputs'!AB175),1-'Model inputs'!AB175)="",0,IF(EXACT("Team","Business"),IF('Model inputs'!AB175="","",'Model inputs'!AB175),1-'Model inputs'!AB175))</f>
        <v>67.56770408000001</v>
      </c>
      <c r="L168" s="10">
        <f>'Model inputs'!L110*IF(IF(EXACT("Team","Business"),IF('Model inputs'!AB175="","",'Model inputs'!AB175),1-'Model inputs'!AB175)="",0,IF(EXACT("Team","Business"),IF('Model inputs'!AB175="","",'Model inputs'!AB175),1-'Model inputs'!AB175))</f>
        <v>82.43259897760001</v>
      </c>
      <c r="M168" s="10">
        <f>'Model inputs'!M110*IF(IF(EXACT("Team","Business"),IF('Model inputs'!AB175="","",'Model inputs'!AB175),1-'Model inputs'!AB175)="",0,IF(EXACT("Team","Business"),IF('Model inputs'!AB175="","",'Model inputs'!AB175),1-'Model inputs'!AB175))</f>
        <v>100.56777075267202</v>
      </c>
      <c r="N168" s="10">
        <f>'Model inputs'!N110*IF(IF(EXACT("Team","Business"),IF('Model inputs'!AB175="","",'Model inputs'!AB175),1-'Model inputs'!AB175)="",0,IF(EXACT("Team","Business"),IF('Model inputs'!AB175="","",'Model inputs'!AB175),1-'Model inputs'!AB175))</f>
        <v>122.69268031825986</v>
      </c>
      <c r="O168" s="10">
        <f>'Model inputs'!O110*IF(IF(EXACT("Team","Business"),IF('Model inputs'!AB175="","",'Model inputs'!AB175),1-'Model inputs'!AB175)="",0,IF(EXACT("Team","Business"),IF('Model inputs'!AB175="","",'Model inputs'!AB175),1-'Model inputs'!AB175))</f>
        <v>149.68506998827704</v>
      </c>
      <c r="P168" s="10">
        <f>'Model inputs'!P110*IF(IF(EXACT("Team","Business"),IF('Model inputs'!AB175="","",'Model inputs'!AB175),1-'Model inputs'!AB175)="",0,IF(EXACT("Team","Business"),IF('Model inputs'!AB175="","",'Model inputs'!AB175),1-'Model inputs'!AB175))</f>
        <v>182.615785385698</v>
      </c>
      <c r="Q168" s="10">
        <f>'Model inputs'!Q110*IF(IF(EXACT("Team","Business"),IF('Model inputs'!AB175="","",'Model inputs'!AB175),1-'Model inputs'!AB175)="",0,IF(EXACT("Team","Business"),IF('Model inputs'!AB175="","",'Model inputs'!AB175),1-'Model inputs'!AB175))</f>
        <v>222.79125817055154</v>
      </c>
      <c r="R168" s="10">
        <f>'Model inputs'!R110*IF(IF(EXACT("Team","Business"),IF('Model inputs'!AB175="","",'Model inputs'!AB175),1-'Model inputs'!AB175)="",0,IF(EXACT("Team","Business"),IF('Model inputs'!AB175="","",'Model inputs'!AB175),1-'Model inputs'!AB175))</f>
        <v>271.8053349680729</v>
      </c>
      <c r="S168" s="10">
        <f>'Model inputs'!S110*IF(IF(EXACT("Team","Business"),IF('Model inputs'!AB175="","",'Model inputs'!AB175),1-'Model inputs'!AB175)="",0,IF(EXACT("Team","Business"),IF('Model inputs'!AB175="","",'Model inputs'!AB175),1-'Model inputs'!AB175))</f>
        <v>331.60250866104894</v>
      </c>
      <c r="T168" s="10">
        <f>'Model inputs'!T110*IF(IF(EXACT("Team","Business"),IF('Model inputs'!AB175="","",'Model inputs'!AB175),1-'Model inputs'!AB175)="",0,IF(EXACT("Team","Business"),IF('Model inputs'!AB175="","",'Model inputs'!AB175),1-'Model inputs'!AB175))</f>
        <v>404.5550605664797</v>
      </c>
      <c r="U168" s="10">
        <f>'Model inputs'!U110*IF(IF(EXACT("Team","Business"),IF('Model inputs'!AB175="","",'Model inputs'!AB175),1-'Model inputs'!AB175)="",0,IF(EXACT("Team","Business"),IF('Model inputs'!AB175="","",'Model inputs'!AB175),1-'Model inputs'!AB175))</f>
        <v>493.55717389110526</v>
      </c>
      <c r="V168" s="10">
        <f>'Model inputs'!V110*IF(IF(EXACT("Team","Business"),IF('Model inputs'!AB175="","",'Model inputs'!AB175),1-'Model inputs'!AB175)="",0,IF(EXACT("Team","Business"),IF('Model inputs'!AB175="","",'Model inputs'!AB175),1-'Model inputs'!AB175))</f>
        <v>602.1397521471483</v>
      </c>
      <c r="W168" s="10">
        <f>'Model inputs'!W110*IF(IF(EXACT("Team","Business"),IF('Model inputs'!AB175="","",'Model inputs'!AB175),1-'Model inputs'!AB175)="",0,IF(EXACT("Team","Business"),IF('Model inputs'!AB175="","",'Model inputs'!AB175),1-'Model inputs'!AB175))</f>
        <v>734.6104976195209</v>
      </c>
      <c r="X168" s="10">
        <f>'Model inputs'!X110*IF(IF(EXACT("Team","Business"),IF('Model inputs'!AB175="","",'Model inputs'!AB175),1-'Model inputs'!AB175)="",0,IF(EXACT("Team","Business"),IF('Model inputs'!AB175="","",'Model inputs'!AB175),1-'Model inputs'!AB175))</f>
        <v>896.2248070958155</v>
      </c>
      <c r="Y168" s="10">
        <f>'Model inputs'!Y110*IF(IF(EXACT("Team","Business"),IF('Model inputs'!AB175="","",'Model inputs'!AB175),1-'Model inputs'!AB175)="",0,IF(EXACT("Team","Business"),IF('Model inputs'!AB175="","",'Model inputs'!AB175),1-'Model inputs'!AB175))</f>
        <v>1093.394264656895</v>
      </c>
      <c r="Z168" s="10">
        <f>'Model inputs'!Z110*IF(IF(EXACT("Team","Business"),IF('Model inputs'!AB175="","",'Model inputs'!AB175),1-'Model inputs'!AB175)="",0,IF(EXACT("Team","Business"),IF('Model inputs'!AB175="","",'Model inputs'!AB175),1-'Model inputs'!AB175))</f>
        <v>1333.941002881412</v>
      </c>
      <c r="AA168" s="10">
        <f>'Model inputs'!AA165</f>
        <v>0</v>
      </c>
    </row>
    <row r="169">
      <c r="A169" t="inlineStr" s="18">
        <is>
          <t xml:space="preserve">Revenue at stress price · Cash at combined stress · Cash at combined stress</t>
        </is>
      </c>
      <c r="B169" s="9">
        <f>'Model inputs'!B61+'Model inputs'!B165*('Model inputs'!AB183-'Model inputs'!C59)</f>
        <v>3133.1159966956984</v>
      </c>
      <c r="D169" s="9">
        <f>'Model inputs'!D61+'Model inputs'!D165*('Model inputs'!AB183-'Model inputs'!C59)</f>
        <v>96.66666666666667</v>
      </c>
      <c r="E169" s="9">
        <f>'Model inputs'!E61+'Model inputs'!E165*('Model inputs'!AB183-'Model inputs'!C59)</f>
        <v>193.33333333333337</v>
      </c>
      <c r="F169" s="9">
        <f>'Model inputs'!F61+'Model inputs'!F165*('Model inputs'!AB183-'Model inputs'!C59)</f>
        <v>290.0000000000001</v>
      </c>
      <c r="G169" s="9">
        <f>'Model inputs'!G61+'Model inputs'!G165*('Model inputs'!AB183-'Model inputs'!C59)</f>
        <v>324.80000000000007</v>
      </c>
      <c r="H169" s="9">
        <f>'Model inputs'!H61+'Model inputs'!H165*('Model inputs'!AB183-'Model inputs'!C59)</f>
        <v>363.77600000000007</v>
      </c>
      <c r="I169" s="9">
        <f>'Model inputs'!I61+'Model inputs'!I165*('Model inputs'!AB183-'Model inputs'!C59)</f>
        <v>407.42912000000007</v>
      </c>
      <c r="J169" s="9">
        <f>'Model inputs'!J61+'Model inputs'!J165*('Model inputs'!AB183-'Model inputs'!C59)</f>
        <v>456.3206144</v>
      </c>
      <c r="K169" s="9">
        <f>'Model inputs'!K61+'Model inputs'!K165*('Model inputs'!AB183-'Model inputs'!C59)</f>
        <v>511.079088128</v>
      </c>
      <c r="L169" s="9">
        <f>'Model inputs'!L61+'Model inputs'!L165*('Model inputs'!AB183-'Model inputs'!C59)</f>
        <v>572.4085787033598</v>
      </c>
      <c r="M169" s="9">
        <f>'Model inputs'!M61+'Model inputs'!M165*('Model inputs'!AB183-'Model inputs'!C59)</f>
        <v>641.0976081477631</v>
      </c>
      <c r="N169" s="9">
        <f>'Model inputs'!N61+'Model inputs'!N165*('Model inputs'!AB183-'Model inputs'!C59)</f>
        <v>718.0293211254946</v>
      </c>
      <c r="O169" s="9">
        <f>'Model inputs'!O61+'Model inputs'!O165*('Model inputs'!AB183-'Model inputs'!C59)</f>
        <v>804.1928396605541</v>
      </c>
      <c r="P169" s="9">
        <f>'Model inputs'!P61+'Model inputs'!P165*('Model inputs'!AB183-'Model inputs'!C59)</f>
        <v>900.6959804198207</v>
      </c>
      <c r="Q169" s="9">
        <f>'Model inputs'!Q61+'Model inputs'!Q165*('Model inputs'!AB183-'Model inputs'!C59)</f>
        <v>1008.7794980701989</v>
      </c>
      <c r="R169" s="9">
        <f>'Model inputs'!R61+'Model inputs'!R165*('Model inputs'!AB183-'Model inputs'!C59)</f>
        <v>1129.8330378386229</v>
      </c>
      <c r="S169" s="9">
        <f>'Model inputs'!S61+'Model inputs'!S165*('Model inputs'!AB183-'Model inputs'!C59)</f>
        <v>1265.4130023792577</v>
      </c>
      <c r="T169" s="9">
        <f>'Model inputs'!T61+'Model inputs'!T165*('Model inputs'!AB183-'Model inputs'!C59)</f>
        <v>1417.2625626647687</v>
      </c>
      <c r="U169" s="9">
        <f>'Model inputs'!U61+'Model inputs'!U165*('Model inputs'!AB183-'Model inputs'!C59)</f>
        <v>1587.3340701845405</v>
      </c>
      <c r="V169" s="9">
        <f>'Model inputs'!V61+'Model inputs'!V165*('Model inputs'!AB183-'Model inputs'!C59)</f>
        <v>1777.8141586066856</v>
      </c>
      <c r="W169" s="9">
        <f>'Model inputs'!W61+'Model inputs'!W165*('Model inputs'!AB183-'Model inputs'!C59)</f>
        <v>1991.151857639488</v>
      </c>
      <c r="X169" s="9">
        <f>'Model inputs'!X61+'Model inputs'!X165*('Model inputs'!AB183-'Model inputs'!C59)</f>
        <v>2230.090080556226</v>
      </c>
      <c r="Y169" s="9">
        <f>'Model inputs'!Y61+'Model inputs'!Y165*('Model inputs'!AB183-'Model inputs'!C59)</f>
        <v>2497.700890222973</v>
      </c>
      <c r="Z169" s="9">
        <f>'Model inputs'!Z61+'Model inputs'!Z165*('Model inputs'!AB183-'Model inputs'!C59)</f>
        <v>2797.424997049731</v>
      </c>
      <c r="AA169" s="9">
        <v>0</v>
      </c>
    </row>
    <row r="170">
      <c r="A170" t="inlineStr" s="18">
        <is>
          <t xml:space="preserve">Security fixes per repo · Security jobs · Cash break-even marker · Main Scenario · Main Scenario</t>
        </is>
      </c>
      <c r="AB170" s="10">
        <f>'Model inputs'!C63</f>
        <v>4</v>
      </c>
    </row>
    <row r="171">
      <c r="A171" t="inlineStr" s="18">
        <is>
          <t xml:space="preserve">Security fixes per repo · Security jobs · Base and upside comparison · Upshift — Upside · Upshift — Upside</t>
        </is>
      </c>
      <c r="AB171" s="10">
        <f>'Model inputs'!C63</f>
        <v>4</v>
      </c>
    </row>
    <row r="172">
      <c r="A172" t="inlineStr" s="18">
        <is>
          <t xml:space="preserve">Business repo capacity · Price per repository · Subscription revenue · Base and upside comparison · Main Scenario · Main Scenario · Main Scenario</t>
        </is>
      </c>
      <c r="AB172" s="10">
        <f>'Model inputs'!C76</f>
        <v>15</v>
      </c>
    </row>
    <row r="173">
      <c r="A173" t="inlineStr" s="18">
        <is>
          <t xml:space="preserve">Business repo capacity · Price per repository · Subscription revenue · Base and upside comparison · Upshift — Upside · Upshift — Upside · Upshift — Upside</t>
        </is>
      </c>
      <c r="AB173" s="10">
        <f>'Model inputs'!C76</f>
        <v>15</v>
      </c>
    </row>
    <row r="174">
      <c r="A174" t="inlineStr" s="18">
        <is>
          <t xml:space="preserve">Business repo share · Repositories by plan · Base and upside comparison · Main Scenario · Main Scenario</t>
        </is>
      </c>
      <c r="AB174" s="11">
        <f>0</f>
        <v>0</v>
      </c>
    </row>
    <row r="175">
      <c r="A175" t="inlineStr" s="18">
        <is>
          <t xml:space="preserve">Business repo share · Repositories by plan · Base and upside comparison · Upshift — Upside · Upshift — Upside</t>
        </is>
      </c>
      <c r="AB175" s="11">
        <f>'Model inputs'!AB174</f>
        <v>0</v>
      </c>
    </row>
    <row r="176">
      <c r="A176" t="inlineStr" s="18">
        <is>
          <t xml:space="preserve">Business subscription price · Price per repository · Subscription revenue · Base and upside comparison · Main Scenario · Main Scenario · Main Scenario</t>
        </is>
      </c>
      <c r="AB176" s="9">
        <f>'Model inputs'!C77</f>
        <v>399</v>
      </c>
    </row>
    <row r="177">
      <c r="A177" t="inlineStr" s="18">
        <is>
          <t xml:space="preserve">Business subscription price · Price per repository · Subscription revenue · Base and upside comparison · Upshift — Upside · Upshift — Upside · Upshift — Upside</t>
        </is>
      </c>
      <c r="AB177" s="9">
        <f>'Model inputs'!C77</f>
        <v>399</v>
      </c>
    </row>
    <row r="178">
      <c r="A178" t="inlineStr" s="18">
        <is>
          <t xml:space="preserve">Founder start date</t>
        </is>
      </c>
      <c r="AB178" s="12">
        <v/>
      </c>
    </row>
    <row r="179" outlineLevel="1">
      <c r="A179" t="inlineStr" s="19">
        <is>
          <t xml:space="preserve">Founder start date &gt; Harsh — founder</t>
        </is>
      </c>
      <c r="AB179" s="8">
        <f>DATE(2026,10,1)</f>
        <v>46296</v>
      </c>
    </row>
    <row r="180">
      <c r="A180" t="inlineStr" s="18">
        <is>
          <t xml:space="preserve">Founder start date</t>
        </is>
      </c>
      <c r="AB180" s="12">
        <v/>
      </c>
    </row>
    <row r="181" outlineLevel="1">
      <c r="A181" t="inlineStr" s="19">
        <is>
          <t xml:space="preserve">Founder start date &gt; Harsh — founder</t>
        </is>
      </c>
      <c r="AB181" s="8">
        <f>DATE(2026,10,1)</f>
        <v>46296</v>
      </c>
    </row>
    <row r="182">
      <c r="A182" t="inlineStr" s="18">
        <is>
          <t xml:space="preserve">Stress breaking model cost · Cost at stress migration cost · Cash at stress migration cost · Cash at stress migration cost</t>
        </is>
      </c>
      <c r="AB182" s="9">
        <f>5</f>
        <v>5</v>
      </c>
    </row>
    <row r="183">
      <c r="A183" t="inlineStr" s="18">
        <is>
          <t xml:space="preserve">Stress Team price · Revenue at stress price · Cash at combined stress · Cash at combined stress</t>
        </is>
      </c>
      <c r="AB183" s="9">
        <f>29</f>
        <v>29</v>
      </c>
    </row>
    <row r="185">
      <c r="A185" t="inlineStr" s="17">
        <is>
          <t xml:space="preserve">Dimensions</t>
        </is>
      </c>
    </row>
    <row r="186">
      <c r="A186" t="inlineStr" s="18">
        <is>
          <t xml:space="preserve">Cost category</t>
        </is>
      </c>
      <c r="B186" t="inlineStr" s="20">
        <is>
          <t xml:space="preserve">Hosting and runners</t>
        </is>
      </c>
      <c r="C186" t="inlineStr" s="20">
        <is>
          <t xml:space="preserve">Observability — neatlogs</t>
        </is>
      </c>
      <c r="D186" t="inlineStr" s="20">
        <is>
          <t xml:space="preserve">Other tools</t>
        </is>
      </c>
    </row>
    <row r="187">
      <c r="A187" t="inlineStr" s="18">
        <is>
          <t xml:space="preserve">Founder ID</t>
        </is>
      </c>
      <c r="B187" t="inlineStr" s="20">
        <is>
          <t xml:space="preserve">Harsh — founder</t>
        </is>
      </c>
    </row>
    <row r="188">
      <c r="A188" t="inlineStr" s="18">
        <is>
          <t xml:space="preserve">Paid plan</t>
        </is>
      </c>
      <c r="B188" t="inlineStr" s="20">
        <is>
          <t xml:space="preserve">Business</t>
        </is>
      </c>
      <c r="C188" t="inlineStr" s="20">
        <is>
          <t xml:space="preserve">Team</t>
        </is>
      </c>
    </row>
  </sheetData>
  <mergeCells count="2">
    <mergeCell ref="A1:AB1"/>
    <mergeCell ref="A2:AB2"/>
  </mergeCells>
</worksheet>
</file>